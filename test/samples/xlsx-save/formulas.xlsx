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sample\Documents\"/>
    </mc:Choice>
  </mc:AlternateContent>
  <xr:revisionPtr revIDLastSave="0" documentId="8_{DCF7587B-20E1-9680-D746-125FE231699D}" xr6:coauthVersionLast="47" xr6:coauthVersionMax="47" xr10:uidLastSave="{00000000-0000-0000-0000-000000000000}"/>
  <bookViews>
    <workbookView xWindow="-120" yWindow="-120" windowWidth="29040" windowHeight="15720" xr2:uid="{0AE02547-4A4A-8F80-5554-976B2C761793}"/>
  </bookViews>
  <sheets>
    <sheet name="Calc" sheetId="1" r:id="rId1"/>
    <sheet name="Dates" sheetId="2" r:id="rId2"/>
    <sheet name="Report" sheetId="3" r:id="rId3"/>
  </sheets>
  <definedNames>
    <definedName name="_xlnm._FilterDatabase" localSheetId="0" hidden="1">Calc!$A$1:$G$11</definedName>
    <definedName name="_xlnm.Print_Area" localSheetId="2">Report!$A$1:$D$20</definedName>
    <definedName name="_xlnm.Print_Titles" localSheetId="2">Report!$1:$2</definedName>
    <definedName name="HiddenTotal" hidden="1">Calc!$D$2</definedName>
    <definedName name="Inputs">Calc!$A$2:$B$11</definedName>
    <definedName name="Rate" localSheetId="1">Dates!$B$7</definedName>
    <definedName name="TaxRate">0.2</definedName>
  </definedNames>
  <calcPr calcId="191029"/>
</workbook>
</file>

<file path=xl/calcChain.xml><?xml version="1.0" encoding="utf-8"?>
<calcChain xmlns="http://schemas.openxmlformats.org/spreadsheetml/2006/main">
  <c r="G2" i="1" a="1"/>
  <c r="E2" a="1"/>
  <c r="C2"/>
  <c r="C3"/>
  <c r="C4"/>
  <c r="C5"/>
  <c r="C6"/>
  <c r="C7"/>
  <c r="C8"/>
  <c r="C9"/>
  <c r="C10"/>
  <c r="C11"/>
  <c r="D2"/>
  <c r="F2"/>
  <c r="F3"/>
  <c r="F4"/>
  <c r="F5"/>
  <c r="F6"/>
  <c r="F7"/>
  <c r="F8"/>
  <c r="C2" i="2"/>
  <c r="C3"/>
  <c r="C4"/>
  <c r="C3" i="3"/>
  <c r="C4"/>
  <c r="C5"/>
  <c r="C6"/>
  <c r="C7"/>
  <c r="C8"/>
  <c r="C9"/>
  <c r="C10"/>
  <c r="C11"/>
  <c r="C12"/>
  <c r="C13"/>
  <c r="C14"/>
  <c r="C15"/>
  <c r="C16"/>
  <c r="C17"/>
  <c r="C18"/>
  <c r="C19"/>
  <c r="C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<sst xmlns="http://schemas.openxmlformats.org/spreadsheetml/2006/main" count="38" uniqueCount="37">
  <si>
    <t>Qty</t>
  </si>
  <si>
    <t>Price</t>
  </si>
  <si>
    <t>Amount</t>
  </si>
  <si>
    <t>Total</t>
  </si>
  <si>
    <t>Times ten</t>
  </si>
  <si>
    <t>Kind</t>
  </si>
  <si>
    <t>Sorted</t>
  </si>
  <si>
    <t>Event</t>
  </si>
  <si>
    <t>When</t>
  </si>
  <si>
    <t>Part</t>
  </si>
  <si>
    <t>Launch day</t>
  </si>
  <si>
    <t>Launch time</t>
  </si>
  <si>
    <t>Daily check</t>
  </si>
  <si>
    <t>Epoch (1904)</t>
  </si>
  <si>
    <t>Rate</t>
  </si>
  <si>
    <t>Quarterly report</t>
  </si>
  <si>
    <t>Line</t>
  </si>
  <si>
    <t>Share</t>
  </si>
  <si>
    <t>Note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</si>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</sst>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20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7731-4AF4-E444-816C-A9F8CF763833}">
  <dimension ref="A1:G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</v>
      </c>
      <c r="B2" s="5">
        <v>1.5</v>
      </c>
      <c r="C2" s="5">
        <f t="shared" ref="C2:C11" si="0">A2*B2</f>
        <v>4.5</v>
      </c>
      <c r="D2" s="5">
        <f>SUM(C2:C11)</f>
        <v>495</v>
      </c>
      <c r="E2">
        <f t="array" ref="E2:E4">A2:A4*10</f>
        <v>30</v>
      </c>
      <c r="F2" t="str">
        <f>IF(A2&gt;10,"big","small")</f>
        <v>small</v>
      </c>
      <c r="G2" cm="1">
        <f t="array" ref="G2:G6" aca="false">_xlfn._xlws.SORT(A2:A6,1,-1)</f>
        <v>15</v>
      </c>
    </row>
    <row r="3" spans="1:7" x14ac:dyDescent="0.25">
      <c r="A3">
        <v>6</v>
      </c>
      <c r="B3" s="5">
        <v>1.75</v>
      </c>
      <c r="C3" s="5">
        <f t="shared" si="0"/>
        <v>10.5</v>
      </c>
      <c r="E3">
        <v>60</v>
      </c>
      <c r="F3" t="b">
        <f>ISNUMBER(A3)</f>
        <v>1</v>
      </c>
      <c r="G3">
        <v>12</v>
      </c>
    </row>
    <row r="4" spans="1:7" x14ac:dyDescent="0.25">
      <c r="A4">
        <v>9</v>
      </c>
      <c r="B4" s="5">
        <v>2</v>
      </c>
      <c r="C4" s="5">
        <f t="shared" si="0"/>
        <v>18</v>
      </c>
      <c r="E4">
        <v>90</v>
      </c>
      <c r="F4" t="e">
        <f>A4/0</f>
        <v>#DIV/0!</v>
      </c>
      <c r="G4">
        <v>9</v>
      </c>
    </row>
    <row r="5" spans="1:7" x14ac:dyDescent="0.25">
      <c r="A5">
        <v>12</v>
      </c>
      <c r="B5" s="5">
        <v>2.25</v>
      </c>
      <c r="C5" s="5">
        <f t="shared" si="0"/>
        <v>27</v>
      </c>
      <c r="F5">
        <f>_xlfn.XLOOKUP(9,A2:A11,B2:B11)</f>
        <v>2</v>
      </c>
      <c r="G5">
        <v>6</v>
      </c>
    </row>
    <row r="6" spans="1:7" x14ac:dyDescent="0.25">
      <c r="A6">
        <v>15</v>
      </c>
      <c r="B6" s="5">
        <v>2.5</v>
      </c>
      <c r="C6" s="5">
        <f t="shared" si="0"/>
        <v>37.5</v>
      </c>
      <c r="F6" t="str">
        <f>"Total: "&amp;TEXT(D2,"0.00")</f>
        <v>Total: 495.00</v>
      </c>
      <c r="G6">
        <v>3</v>
      </c>
    </row>
    <row r="7" spans="1:6" x14ac:dyDescent="0.25">
      <c r="A7">
        <v>18</v>
      </c>
      <c r="B7" s="5">
        <v>2.75</v>
      </c>
      <c r="C7" s="5">
        <f t="shared" si="0"/>
        <v>49.5</v>
      </c>
      <c r="F7">
        <f>TaxRate*D2</f>
        <v>99</v>
      </c>
    </row>
    <row r="8" spans="1:6" x14ac:dyDescent="0.25">
      <c r="A8">
        <v>21</v>
      </c>
      <c r="B8" s="5">
        <v>3</v>
      </c>
      <c r="C8" s="5">
        <f t="shared" si="0"/>
        <v>63</v>
      </c>
      <c r="F8">
        <f>Dates!Rate*2</f>
        <v>0.1</v>
      </c>
    </row>
    <row r="9" spans="1:3" x14ac:dyDescent="0.25">
      <c r="A9">
        <v>24</v>
      </c>
      <c r="B9" s="5">
        <v>3.25</v>
      </c>
      <c r="C9" s="5">
        <f t="shared" si="0"/>
        <v>78</v>
      </c>
    </row>
    <row r="10" spans="1:3" x14ac:dyDescent="0.25">
      <c r="A10">
        <v>27</v>
      </c>
      <c r="B10" s="5">
        <v>3.5</v>
      </c>
      <c r="C10" s="5">
        <f t="shared" si="0"/>
        <v>94.5</v>
      </c>
    </row>
    <row r="11" spans="1:3" x14ac:dyDescent="0.25">
      <c r="A11">
        <v>30</v>
      </c>
      <c r="B11" s="5">
        <v>3.75</v>
      </c>
      <c r="C11" s="5">
        <f t="shared" si="0"/>
        <v>112.5</v>
      </c>
    </row>
  </sheetData>
  <autoFilter ref="A1:G11" xr:uid="{6A944C7D-8030-98EE-016D-37E7524DA6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8714-7F5D-5471-45E9-9F22F3D11B12}">
  <dimension ref="A1:C7"/>
  <sheetViews>
    <sheetView workbookViewId="0"/>
  </sheetViews>
  <sheetFormatPr defaultRowHeight="15" x14ac:dyDescent="0.25"/>
  <cols>
    <col min="1" max="1" width="14.7109375" customWidth="1"/>
    <col min="2" max="2" width="18.7109375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t="s">
        <v>10</v>
      </c>
      <c r="B2" s="2">
        <v>43904</v>
      </c>
      <c r="C2">
        <f>YEAR(B2)</f>
        <v>2024</v>
      </c>
    </row>
    <row r="3" spans="1:3" x14ac:dyDescent="0.25">
      <c r="A3" t="s">
        <v>11</v>
      </c>
      <c r="B3" s="3">
        <v>43904.604166666664</v>
      </c>
      <c r="C3">
        <f>MONTH(B3)</f>
        <v>3</v>
      </c>
    </row>
    <row r="4" spans="1:3" x14ac:dyDescent="0.25">
      <c r="A4" t="s">
        <v>12</v>
      </c>
      <c r="B4" s="4">
        <v>0.75</v>
      </c>
      <c r="C4">
        <f>HOUR(B4)</f>
        <v>18</v>
      </c>
    </row>
    <row r="5" spans="1:2" x14ac:dyDescent="0.25">
      <c r="A5" t="s">
        <v>13</v>
      </c>
      <c r="B5" s="2">
        <v>0</v>
      </c>
    </row>
    <row r="7" spans="1:2" x14ac:dyDescent="0.25">
      <c r="A7" t="s">
        <v>14</v>
      </c>
      <c r="B7" s="6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A7E3-72C5-ACBA-7F68-D32E176CB1EE}">
  <dimension ref="A1:D20"/>
  <sheetViews>
    <sheetView workbookViewId="0"/>
  </sheetViews>
  <sheetFormatPr defaultRowHeight="15" x14ac:dyDescent="0.25"/>
  <sheetData>
    <row r="1" spans="1:1" x14ac:dyDescent="0.25">
      <c r="A1" s="1" t="s">
        <v>15</v>
      </c>
    </row>
    <row r="2" spans="1:4" x14ac:dyDescent="0.25">
      <c r="A2" s="1" t="s">
        <v>16</v>
      </c>
      <c r="B2" s="1" t="s">
        <v>2</v>
      </c>
      <c r="C2" s="1" t="s">
        <v>17</v>
      </c>
      <c r="D2" s="1" t="s">
        <v>18</v>
      </c>
    </row>
    <row r="3" spans="1:3" x14ac:dyDescent="0.25">
      <c r="A3" t="s">
        <v>19</v>
      </c>
      <c r="B3" s="5">
        <v>125</v>
      </c>
      <c r="C3" s="6">
        <f>B3/SUM($B$3:$B$20)</f>
        <v>0.00584795321637427</v>
      </c>
    </row>
    <row r="4" spans="1:3" x14ac:dyDescent="0.25">
      <c r="A4" t="s">
        <v>20</v>
      </c>
      <c r="B4" s="5">
        <v>250</v>
      </c>
      <c r="C4" s="6">
        <f>B4/SUM($B$3:$B$20)</f>
        <v>0.0116959064327485</v>
      </c>
    </row>
    <row r="5" spans="1:3" x14ac:dyDescent="0.25">
      <c r="A5" t="s">
        <v>21</v>
      </c>
      <c r="B5" s="5">
        <v>375</v>
      </c>
      <c r="C5" s="6">
        <f>B5/SUM($B$3:$B$20)</f>
        <v>0.0175438596491228</v>
      </c>
    </row>
    <row r="6" spans="1:3" x14ac:dyDescent="0.25">
      <c r="A6" t="s">
        <v>22</v>
      </c>
      <c r="B6" s="5">
        <v>500</v>
      </c>
      <c r="C6" s="6">
        <f>B6/SUM($B$3:$B$20)</f>
        <v>0.0233918128654971</v>
      </c>
    </row>
    <row r="7" spans="1:3" x14ac:dyDescent="0.25">
      <c r="A7" t="s">
        <v>23</v>
      </c>
      <c r="B7" s="5">
        <v>625</v>
      </c>
      <c r="C7" s="6">
        <f>B7/SUM($B$3:$B$20)</f>
        <v>0.0292397660818713</v>
      </c>
    </row>
    <row r="8" spans="1:3" x14ac:dyDescent="0.25">
      <c r="A8" t="s">
        <v>24</v>
      </c>
      <c r="B8" s="5">
        <v>750</v>
      </c>
      <c r="C8" s="6">
        <f>B8/SUM($B$3:$B$20)</f>
        <v>0.0350877192982456</v>
      </c>
    </row>
    <row r="9" spans="1:3" x14ac:dyDescent="0.25">
      <c r="A9" t="s">
        <v>25</v>
      </c>
      <c r="B9" s="5">
        <v>875</v>
      </c>
      <c r="C9" s="6">
        <f>B9/SUM($B$3:$B$20)</f>
        <v>0.0409356725146199</v>
      </c>
    </row>
    <row r="10" spans="1:3" x14ac:dyDescent="0.25">
      <c r="A10" t="s">
        <v>26</v>
      </c>
      <c r="B10" s="5">
        <v>1000</v>
      </c>
      <c r="C10" s="6">
        <f>B10/SUM($B$3:$B$20)</f>
        <v>0.0467836257309941</v>
      </c>
    </row>
    <row r="11" spans="1:3" x14ac:dyDescent="0.25">
      <c r="A11" t="s">
        <v>27</v>
      </c>
      <c r="B11" s="5">
        <v>1125</v>
      </c>
      <c r="C11" s="6">
        <f>B11/SUM($B$3:$B$20)</f>
        <v>0.0526315789473684</v>
      </c>
    </row>
    <row r="12" spans="1:3" x14ac:dyDescent="0.25">
      <c r="A12" t="s">
        <v>28</v>
      </c>
      <c r="B12" s="5">
        <v>1250</v>
      </c>
      <c r="C12" s="6">
        <f>B12/SUM($B$3:$B$20)</f>
        <v>0.0584795321637427</v>
      </c>
    </row>
    <row r="13" spans="1:3" x14ac:dyDescent="0.25">
      <c r="A13" t="s">
        <v>29</v>
      </c>
      <c r="B13" s="5">
        <v>1375</v>
      </c>
      <c r="C13" s="6">
        <f>B13/SUM($B$3:$B$20)</f>
        <v>0.064327485380117</v>
      </c>
    </row>
    <row r="14" spans="1:3" x14ac:dyDescent="0.25">
      <c r="A14" t="s">
        <v>30</v>
      </c>
      <c r="B14" s="5">
        <v>1500</v>
      </c>
      <c r="C14" s="6">
        <f>B14/SUM($B$3:$B$20)</f>
        <v>0.0701754385964912</v>
      </c>
    </row>
    <row r="15" spans="1:3" x14ac:dyDescent="0.25">
      <c r="A15" t="s">
        <v>31</v>
      </c>
      <c r="B15" s="5">
        <v>1625</v>
      </c>
      <c r="C15" s="6">
        <f>B15/SUM($B$3:$B$20)</f>
        <v>0.0760233918128655</v>
      </c>
    </row>
    <row r="16" spans="1:3" x14ac:dyDescent="0.25">
      <c r="A16" t="s">
        <v>32</v>
      </c>
      <c r="B16" s="5">
        <v>1750</v>
      </c>
      <c r="C16" s="6">
        <f>B16/SUM($B$3:$B$20)</f>
        <v>0.0818713450292398</v>
      </c>
    </row>
    <row r="17" spans="1:3" x14ac:dyDescent="0.25">
      <c r="A17" t="s">
        <v>33</v>
      </c>
      <c r="B17" s="5">
        <v>1875</v>
      </c>
      <c r="C17" s="6">
        <f>B17/SUM($B$3:$B$20)</f>
        <v>0.087719298245614</v>
      </c>
    </row>
    <row r="18" spans="1:3" x14ac:dyDescent="0.25">
      <c r="A18" t="s">
        <v>34</v>
      </c>
      <c r="B18" s="5">
        <v>2000</v>
      </c>
      <c r="C18" s="6">
        <f>B18/SUM($B$3:$B$20)</f>
        <v>0.0935672514619883</v>
      </c>
    </row>
    <row r="19" spans="1:3" x14ac:dyDescent="0.25">
      <c r="A19" t="s">
        <v>35</v>
      </c>
      <c r="B19" s="5">
        <v>2125</v>
      </c>
      <c r="C19" s="6">
        <f>B19/SUM($B$3:$B$20)</f>
        <v>0.0994152046783626</v>
      </c>
    </row>
    <row r="20" spans="1:3" x14ac:dyDescent="0.25">
      <c r="A20" t="s">
        <v>36</v>
      </c>
      <c r="B20" s="5">
        <v>2250</v>
      </c>
      <c r="C20" s="6">
        <f>B20/SUM($B$3:$B$20)</f>
        <v>0.105263157894737</v>
      </c>
    </row>
  </sheetData>
  <pageMargins left="0.7" right="0.7" top="0.75" bottom="0.75" header="0.3" footer="0.3"/>
  <pageSetup paperSize="9" orientation="landscape" horizontalDpi="300" verticalDpi="300"/>
  <headerFooter>
    <oddHeader>&amp;C&amp;"-,Bold"Quarterly report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</vt:lpstr>
      <vt:lpstr>Dates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FileStudio sample generator</dc:creator>
  <cp:lastModifiedBy>FileStudio sample generator</cp:lastModifiedBy>
  <dcterms:created xsi:type="dcterms:W3CDTF">2024-01-15T09:30:00Z</dcterms:created>
  <dcterms:modified xsi:type="dcterms:W3CDTF">2024-01-15T09:30:00Z</dcterms:modified>
</cp:coreProperties>
</file>