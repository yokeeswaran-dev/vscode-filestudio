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7000" firstSheet="0" activeTab="0"/>
  </bookViews>
  <sheets>
    <sheet sheetId="1" name="Formatting" state="visible" r:id="rId4"/>
    <sheet sheetId="2" name="Numbers" state="visible" r:id="rId5"/>
    <sheet sheetId="3" name="CondFormat" state="visible" r:id="rId6"/>
    <sheet sheetId="4" name="Hidden" state="hidden" r:id="rId7"/>
    <sheet sheetId="5" name="Images" state="visible" r:id="rId8"/>
    <sheet sheetId="6" name="RTL" state="visible" r:id="rId9"/>
    <sheet sheetId="7" name="VeryHidden" state="veryHidden" r:id="rId10"/>
  </sheets>
  <definedNames>
    <definedName name="FruitList">Hidden!$A$2:$A$7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64" authorId="0">
      <text>
        <r>
          <t xml:space="preserve">A plain-text note.
It has two lines.</t>
        </r>
      </text>
    </comment>
    <comment ref="C64" authorId="0">
      <text>
        <r>
          <rPr>
            <b/>
            <family val="2"/>
            <sz val="9"/>
            <rFont val="Tahoma"/>
          </rPr>
          <t xml:space="preserve">Reviewer:
</t>
        </r>
        <r>
          <rPr>
            <family val="2"/>
            <sz val="9"/>
            <rFont val="Tahoma"/>
          </rPr>
          <t>Rich note with a bold author line.</t>
        </r>
      </text>
    </comment>
    <comment ref="D64" authorId="0">
      <text>
        <r>
          <t>Notes can sit on numbers too.</t>
        </r>
      </text>
    </comment>
  </commentList>
</comments>
</file>

<file path=xl/sharedStrings.xml><?xml version="1.0" encoding="utf-8"?>
<sst xmlns="http://schemas.openxmlformats.org/spreadsheetml/2006/main" count="510" uniqueCount="467">
  <si>
    <t>FileStudio — styled.xlsx formatting showcase</t>
  </si>
  <si>
    <t>Feature</t>
  </si>
  <si>
    <t>Examples (frozen header, merged B2:J2)</t>
  </si>
  <si>
    <t>Hidden column K</t>
  </si>
  <si>
    <t>List source</t>
  </si>
  <si>
    <t>Column style</t>
  </si>
  <si>
    <t>Apple</t>
  </si>
  <si>
    <t>Fonts</t>
  </si>
  <si>
    <t>Banana</t>
  </si>
  <si>
    <t>Font families</t>
  </si>
  <si>
    <t>Calibri</t>
  </si>
  <si>
    <t>Arial</t>
  </si>
  <si>
    <t>Times New Roman</t>
  </si>
  <si>
    <t>Courier New</t>
  </si>
  <si>
    <t>Georgia</t>
  </si>
  <si>
    <t>Verdana</t>
  </si>
  <si>
    <t>Consolas</t>
  </si>
  <si>
    <t>Cherry</t>
  </si>
  <si>
    <t>Font sizes (pt)</t>
  </si>
  <si>
    <t>8 pt</t>
  </si>
  <si>
    <t>10 pt</t>
  </si>
  <si>
    <t>11 pt</t>
  </si>
  <si>
    <t>14 pt</t>
  </si>
  <si>
    <t>18 pt</t>
  </si>
  <si>
    <t>24 pt</t>
  </si>
  <si>
    <t>36 pt</t>
  </si>
  <si>
    <t>Date</t>
  </si>
  <si>
    <t>Bold / italic / underline / strike</t>
  </si>
  <si>
    <t>Bold</t>
  </si>
  <si>
    <t>Italic</t>
  </si>
  <si>
    <t>Underline</t>
  </si>
  <si>
    <t>Double underline</t>
  </si>
  <si>
    <t>Strikethrough</t>
  </si>
  <si>
    <t>All four</t>
  </si>
  <si>
    <t>Accounting u/l</t>
  </si>
  <si>
    <t>Elderberry</t>
  </si>
  <si>
    <t>Superscript / subscript</t>
  </si>
  <si>
    <r>
      <rPr>
        <family val="2"/>
        <sz val="11"/>
        <rFont val="Calibri"/>
      </rPr>
      <t>E = mc</t>
    </r>
    <r>
      <rPr>
        <family val="2"/>
        <vertAlign val="superscript"/>
        <sz val="11"/>
        <rFont val="Calibri"/>
      </rPr>
      <t>2</t>
    </r>
  </si>
  <si>
    <r>
      <rPr>
        <family val="2"/>
        <sz val="11"/>
        <rFont val="Calibri"/>
      </rPr>
      <t>H</t>
    </r>
    <r>
      <rPr>
        <family val="2"/>
        <vertAlign val="subscript"/>
        <sz val="11"/>
        <rFont val="Calibri"/>
      </rPr>
      <t>2</t>
    </r>
    <r>
      <rPr>
        <family val="2"/>
        <sz val="11"/>
        <rFont val="Calibri"/>
      </rPr>
      <t>O</t>
    </r>
  </si>
  <si>
    <t>Superscript cell</t>
  </si>
  <si>
    <t>Subscript cell</t>
  </si>
  <si>
    <t>Fig</t>
  </si>
  <si>
    <t>Font colors (ARGB)</t>
  </si>
  <si>
    <t>Red</t>
  </si>
  <si>
    <t>Green</t>
  </si>
  <si>
    <t>Blue</t>
  </si>
  <si>
    <t>Orange</t>
  </si>
  <si>
    <t>Purple</t>
  </si>
  <si>
    <t>Gray</t>
  </si>
  <si>
    <t>Font colors (theme + tint)</t>
  </si>
  <si>
    <t>theme 1 (Text 1)</t>
  </si>
  <si>
    <t>theme 4 (Accent 1)</t>
  </si>
  <si>
    <t>theme 4, tint 0.4</t>
  </si>
  <si>
    <t>theme 5, tint -0.25</t>
  </si>
  <si>
    <t>theme 9 (Accent 6)</t>
  </si>
  <si>
    <t>theme 3 (Text 2)</t>
  </si>
  <si>
    <t>theme 10 (Link)</t>
  </si>
  <si>
    <t>Font colors (indexed palette)</t>
  </si>
  <si>
    <t>indexed 10</t>
  </si>
  <si>
    <t>indexed 12</t>
  </si>
  <si>
    <t>indexed 17</t>
  </si>
  <si>
    <t>indexed 20</t>
  </si>
  <si>
    <t>indexed 53</t>
  </si>
  <si>
    <t>indexed 64 (system)</t>
  </si>
  <si>
    <t>Fills</t>
  </si>
  <si>
    <t>Solid fills (ARGB)</t>
  </si>
  <si>
    <t>Light red</t>
  </si>
  <si>
    <t>Light green</t>
  </si>
  <si>
    <t>Light yellow</t>
  </si>
  <si>
    <t>Light blue</t>
  </si>
  <si>
    <t>Black</t>
  </si>
  <si>
    <t>Solid fills (theme + tint)</t>
  </si>
  <si>
    <t>theme 4, tint 0.8</t>
  </si>
  <si>
    <t>theme 4</t>
  </si>
  <si>
    <t>theme 4, tint -0.5</t>
  </si>
  <si>
    <t>theme 5, tint 0.6</t>
  </si>
  <si>
    <t>theme 9, tint 0.4</t>
  </si>
  <si>
    <t>theme 0, tint -0.15</t>
  </si>
  <si>
    <t>Pattern fills (1/3)</t>
  </si>
  <si>
    <t>darkGrid</t>
  </si>
  <si>
    <t>lightTrellis</t>
  </si>
  <si>
    <t>gray125</t>
  </si>
  <si>
    <t>gray0625</t>
  </si>
  <si>
    <t>darkVertical</t>
  </si>
  <si>
    <t>lightHorizontal</t>
  </si>
  <si>
    <t>darkDown</t>
  </si>
  <si>
    <t>Pattern fills (2/3)</t>
  </si>
  <si>
    <t>mediumGray</t>
  </si>
  <si>
    <t>darkGray</t>
  </si>
  <si>
    <t>lightGray</t>
  </si>
  <si>
    <t>darkHorizontal</t>
  </si>
  <si>
    <t>darkUp</t>
  </si>
  <si>
    <t>darkTrellis</t>
  </si>
  <si>
    <t>lightVertical</t>
  </si>
  <si>
    <t>Pattern fills (3/3) — theme colors</t>
  </si>
  <si>
    <t>lightDown</t>
  </si>
  <si>
    <t>lightUp</t>
  </si>
  <si>
    <t>lightGrid</t>
  </si>
  <si>
    <t>Gradient fills</t>
  </si>
  <si>
    <t>Linear 0°</t>
  </si>
  <si>
    <t>Linear 90°, 3 stops</t>
  </si>
  <si>
    <t>Linear 45°</t>
  </si>
  <si>
    <t>Path (center)</t>
  </si>
  <si>
    <t>Borders</t>
  </si>
  <si>
    <t>Border line styles (all sides)</t>
  </si>
  <si>
    <t>thin</t>
  </si>
  <si>
    <t>medium</t>
  </si>
  <si>
    <t>thick</t>
  </si>
  <si>
    <t>double</t>
  </si>
  <si>
    <t>hair</t>
  </si>
  <si>
    <t>dotted</t>
  </si>
  <si>
    <t>dashed</t>
  </si>
  <si>
    <t>mediumDashed</t>
  </si>
  <si>
    <t>dashDot</t>
  </si>
  <si>
    <t>mediumDashDot</t>
  </si>
  <si>
    <t>dashDotDot</t>
  </si>
  <si>
    <t>mediumDashDotDot</t>
  </si>
  <si>
    <t>slantDashDot</t>
  </si>
  <si>
    <t>Adjacent cells (thin grid, medium outline)</t>
  </si>
  <si>
    <t>Bottom borders only</t>
  </si>
  <si>
    <t>share an edge</t>
  </si>
  <si>
    <t>Top thick / bottom double</t>
  </si>
  <si>
    <t>Colored borders</t>
  </si>
  <si>
    <t>Mixed sides</t>
  </si>
  <si>
    <t>Theme color</t>
  </si>
  <si>
    <t>Indexed color</t>
  </si>
  <si>
    <t>Diagonal borders</t>
  </si>
  <si>
    <t>Diagonal up</t>
  </si>
  <si>
    <t>Diagonal down</t>
  </si>
  <si>
    <t>Both + box</t>
  </si>
  <si>
    <t>Alignment</t>
  </si>
  <si>
    <t>Horizontal × vertical</t>
  </si>
  <si>
    <t>left / top</t>
  </si>
  <si>
    <t>center / top</t>
  </si>
  <si>
    <t>right / top</t>
  </si>
  <si>
    <t>left / middle</t>
  </si>
  <si>
    <t>center / middle</t>
  </si>
  <si>
    <t>right / middle</t>
  </si>
  <si>
    <t>left / bottom</t>
  </si>
  <si>
    <t>center / bottom</t>
  </si>
  <si>
    <t>right / bottom</t>
  </si>
  <si>
    <t>Other horizontal modes</t>
  </si>
  <si>
    <t>ab</t>
  </si>
  <si>
    <t>Justified text that wraps over several lines.</t>
  </si>
  <si>
    <t>Distributed words here</t>
  </si>
  <si>
    <t>Centered across D:E</t>
  </si>
  <si>
    <t>Vertical justify / distributed</t>
  </si>
  <si>
    <t>Vertically justified text in a tall cell</t>
  </si>
  <si>
    <t>Vertically distributed text lines</t>
  </si>
  <si>
    <t>Wrap text</t>
  </si>
  <si>
    <t>This long sentence wraps inside the cell because wrap text is on.</t>
  </si>
  <si>
    <t xml:space="preserve">Line one
Line two
Line three</t>
  </si>
  <si>
    <t>Not wrapped: clipped by the next cell</t>
  </si>
  <si>
    <t>(next cell)</t>
  </si>
  <si>
    <t>Text overflow</t>
  </si>
  <si>
    <t>Long left-aligned text spills into the empty cells on its right</t>
  </si>
  <si>
    <t>Stops here -&gt;</t>
  </si>
  <si>
    <t>Right-aligned text spills into the empty cells on its left</t>
  </si>
  <si>
    <t>Indent</t>
  </si>
  <si>
    <t>Indent 1</t>
  </si>
  <si>
    <t>Indent 2</t>
  </si>
  <si>
    <t>Indent 3</t>
  </si>
  <si>
    <t>Right, indent 2</t>
  </si>
  <si>
    <t>Text rotation</t>
  </si>
  <si>
    <t>45°</t>
  </si>
  <si>
    <t>-45°</t>
  </si>
  <si>
    <t>90°</t>
  </si>
  <si>
    <t>-90°</t>
  </si>
  <si>
    <t>Vertical</t>
  </si>
  <si>
    <t>Shrink to fit</t>
  </si>
  <si>
    <t>This text shrinks to fit the cell width</t>
  </si>
  <si>
    <t>Merged cells</t>
  </si>
  <si>
    <t>Horizontal merge (B:D)</t>
  </si>
  <si>
    <t>Merged B:D</t>
  </si>
  <si>
    <t>Vertical F × 3 rows</t>
  </si>
  <si>
    <t>Block H:J × 3 rows with a medium outline</t>
  </si>
  <si>
    <t>Block merge (B:D × 2 rows)</t>
  </si>
  <si>
    <t>Block B:D × 2 rows</t>
  </si>
  <si>
    <t>Vertical (F) and block (H:J) merges</t>
  </si>
  <si>
    <t>Row heights, column widths, hidden rows/columns</t>
  </si>
  <si>
    <t>Custom row height 32 pt</t>
  </si>
  <si>
    <t>Tall row</t>
  </si>
  <si>
    <t>Custom row height 10 pt</t>
  </si>
  <si>
    <t>Short row</t>
  </si>
  <si>
    <t>Next row is hidden ↓</t>
  </si>
  <si>
    <t>Hidden row</t>
  </si>
  <si>
    <t>This row is hidden</t>
  </si>
  <si>
    <t>Previous row is hidden ↑</t>
  </si>
  <si>
    <t>Column widths (characters)</t>
  </si>
  <si>
    <t>B = 18</t>
  </si>
  <si>
    <t>C = 16</t>
  </si>
  <si>
    <t>D = 16</t>
  </si>
  <si>
    <t>E = 16</t>
  </si>
  <si>
    <t>F = 16</t>
  </si>
  <si>
    <t>G = 16</t>
  </si>
  <si>
    <t>H = 18</t>
  </si>
  <si>
    <t>I = 12</t>
  </si>
  <si>
    <t>J = 20</t>
  </si>
  <si>
    <t>K is hidden</t>
  </si>
  <si>
    <t>Rich text, hyperlinks, notes, data validation</t>
  </si>
  <si>
    <t>Rich text (multiple runs)</t>
  </si>
  <si>
    <r>
      <rPr>
        <b/>
        <family val="2"/>
        <sz val="11"/>
        <rFont val="Calibri"/>
      </rPr>
      <t xml:space="preserve">Rich </t>
    </r>
    <r>
      <rPr>
        <i/>
        <color rgb="FFC00000"/>
        <family val="2"/>
        <sz val="11"/>
        <rFont val="Calibri"/>
      </rPr>
      <t xml:space="preserve">text </t>
    </r>
    <r>
      <rPr>
        <u/>
        <family val="2"/>
        <sz val="11"/>
        <rFont val="Calibri"/>
      </rPr>
      <t xml:space="preserve">with </t>
    </r>
    <r>
      <rPr>
        <color theme="4"/>
        <family val="2"/>
        <sz val="14"/>
        <rFont val="Calibri"/>
      </rPr>
      <t xml:space="preserve">many </t>
    </r>
    <r>
      <rPr>
        <strike/>
        <rFont val="Consolas"/>
      </rPr>
      <t>runs</t>
    </r>
  </si>
  <si>
    <t>Hyperlinks</t>
  </si>
  <si>
    <t>VS Code website</t>
  </si>
  <si>
    <t>E-mail link</t>
  </si>
  <si>
    <t>Go to Numbers!A1</t>
  </si>
  <si>
    <t>Go to CondFormat!B2</t>
  </si>
  <si>
    <t>Link kinds ↑</t>
  </si>
  <si>
    <t>external https</t>
  </si>
  <si>
    <t>mailto</t>
  </si>
  <si>
    <t>internal (location)</t>
  </si>
  <si>
    <t>internal (#target)</t>
  </si>
  <si>
    <t>HYPERLINK() formula</t>
  </si>
  <si>
    <t>Cell notes (comments)</t>
  </si>
  <si>
    <t>Plain note</t>
  </si>
  <si>
    <t>Rich note</t>
  </si>
  <si>
    <t>Data validation</t>
  </si>
  <si>
    <t>Mango</t>
  </si>
  <si>
    <t>Lime</t>
  </si>
  <si>
    <t>Validation kinds ↑</t>
  </si>
  <si>
    <t>list: literal</t>
  </si>
  <si>
    <t>list: range L3:L8</t>
  </si>
  <si>
    <t>list: name FruitList</t>
  </si>
  <si>
    <t>list: Hidden!A2:A7</t>
  </si>
  <si>
    <t>whole 1..100</t>
  </si>
  <si>
    <t>Row and column default styles</t>
  </si>
  <si>
    <t>Row style (whole row)</t>
  </si>
  <si>
    <t>Every cell of this row, even empty ones, uses the row style</t>
  </si>
  <si>
    <t>Column style (column M)</t>
  </si>
  <si>
    <t>Column M has a default fill — see the yellow column -&gt;</t>
  </si>
  <si>
    <t>Description</t>
  </si>
  <si>
    <t>Format code</t>
  </si>
  <si>
    <t>Formatted value</t>
  </si>
  <si>
    <t>Raw value</t>
  </si>
  <si>
    <t>Excel displays (en-US)</t>
  </si>
  <si>
    <t>General</t>
  </si>
  <si>
    <t>1234.5678</t>
  </si>
  <si>
    <t>General (large number)</t>
  </si>
  <si>
    <t>1.23457E+11</t>
  </si>
  <si>
    <t>General (small number)</t>
  </si>
  <si>
    <t>0.000012345</t>
  </si>
  <si>
    <t>Fixed, 2 decimals</t>
  </si>
  <si>
    <t>0.00</t>
  </si>
  <si>
    <t>3.14</t>
  </si>
  <si>
    <t>Thousands separator</t>
  </si>
  <si>
    <t>#,##0</t>
  </si>
  <si>
    <t>1,234,568</t>
  </si>
  <si>
    <t>Thousands, 2 decimals (negative)</t>
  </si>
  <si>
    <t>#,##0.00</t>
  </si>
  <si>
    <t>-9,876.50</t>
  </si>
  <si>
    <t>Currency</t>
  </si>
  <si>
    <t>$#,##0.00;[Red]-$#,##0.00</t>
  </si>
  <si>
    <t>$1,234.50</t>
  </si>
  <si>
    <t>Currency (negative, red)</t>
  </si>
  <si>
    <t>-$1,234.50 (red)</t>
  </si>
  <si>
    <t>Accounting</t>
  </si>
  <si>
    <t>_("$"* #,##0.00_);_("$"* \(#,##0.00\);_("$"* "-"??_);_(@_)</t>
  </si>
  <si>
    <t>"$" at the left edge, "1,234.50 " at the right</t>
  </si>
  <si>
    <t>Accounting (negative)</t>
  </si>
  <si>
    <t>"$" at the left edge, "(1,234.50)" at the right</t>
  </si>
  <si>
    <t>Accounting (zero)</t>
  </si>
  <si>
    <t>"$" at the left edge, "-" near the right</t>
  </si>
  <si>
    <t>Percent</t>
  </si>
  <si>
    <t>0%</t>
  </si>
  <si>
    <t>26%</t>
  </si>
  <si>
    <t>Percent, 2 decimals</t>
  </si>
  <si>
    <t>0.00%</t>
  </si>
  <si>
    <t>5.25%</t>
  </si>
  <si>
    <t>Percent (negative, red)</t>
  </si>
  <si>
    <t>0.0%;[Red]-0.0%</t>
  </si>
  <si>
    <t>-3.4% (red)</t>
  </si>
  <si>
    <t>Scientific</t>
  </si>
  <si>
    <t>0.00E+00</t>
  </si>
  <si>
    <t>1.23E+04</t>
  </si>
  <si>
    <t>Scientific (small)</t>
  </si>
  <si>
    <t>1.23E-04</t>
  </si>
  <si>
    <t>Fraction</t>
  </si>
  <si>
    <t># ?/?</t>
  </si>
  <si>
    <t>1 1/4</t>
  </si>
  <si>
    <t>Fraction, 2 digits (space padded)</t>
  </si>
  <si>
    <t># ??/??</t>
  </si>
  <si>
    <t xml:space="preserve">3  1/7 </t>
  </si>
  <si>
    <t>Fraction in eighths</t>
  </si>
  <si>
    <t># ?/8</t>
  </si>
  <si>
    <t>2 3/8</t>
  </si>
  <si>
    <t>Date m/d/yyyy</t>
  </si>
  <si>
    <t>m/d/yyyy</t>
  </si>
  <si>
    <t>3/15/2024</t>
  </si>
  <si>
    <t>Date d-mmm-yy</t>
  </si>
  <si>
    <t>d-mmm-yy</t>
  </si>
  <si>
    <t>15-Mar-24</t>
  </si>
  <si>
    <t>Date + time</t>
  </si>
  <si>
    <t>yyyy-mm-dd hh:mm</t>
  </si>
  <si>
    <t>2024-03-15 14:30</t>
  </si>
  <si>
    <t>Long date</t>
  </si>
  <si>
    <t>dddd, mmmm d, yyyy</t>
  </si>
  <si>
    <t>Friday, March 15, 2024</t>
  </si>
  <si>
    <t>Date with CJK literals</t>
  </si>
  <si>
    <t>yyyy"年"m"月"d"日"</t>
  </si>
  <si>
    <t>2024年3月15日</t>
  </si>
  <si>
    <t>Time 12-hour</t>
  </si>
  <si>
    <t>h:mm AM/PM</t>
  </si>
  <si>
    <t>2:30 PM</t>
  </si>
  <si>
    <t>Time with seconds</t>
  </si>
  <si>
    <t>h:mm:ss</t>
  </si>
  <si>
    <t>18:00:15</t>
  </si>
  <si>
    <t>Elapsed hours</t>
  </si>
  <si>
    <t>[h]:mm:ss</t>
  </si>
  <si>
    <t>36:00:00</t>
  </si>
  <si>
    <t>Text (string)</t>
  </si>
  <si>
    <t>@</t>
  </si>
  <si>
    <t>00123</t>
  </si>
  <si>
    <t>Text (number)</t>
  </si>
  <si>
    <t>42</t>
  </si>
  <si>
    <t>Custom colors (positive)</t>
  </si>
  <si>
    <t>[Blue]0;[Red]-0;"zero"</t>
  </si>
  <si>
    <t>5 (blue)</t>
  </si>
  <si>
    <t>Custom colors (negative)</t>
  </si>
  <si>
    <t>-5 (red)</t>
  </si>
  <si>
    <t>Custom colors (zero)</t>
  </si>
  <si>
    <t>zero</t>
  </si>
  <si>
    <t>Unit suffix</t>
  </si>
  <si>
    <t>0.0 "kg"</t>
  </si>
  <si>
    <t>72.5 kg</t>
  </si>
  <si>
    <t>Leading zeros</t>
  </si>
  <si>
    <t>00000</t>
  </si>
  <si>
    <t>00501</t>
  </si>
  <si>
    <t>Digit groups</t>
  </si>
  <si>
    <t>000-00-0000</t>
  </si>
  <si>
    <t>123-45-6789</t>
  </si>
  <si>
    <t>Thousands scaling</t>
  </si>
  <si>
    <t>#,##0,"K"</t>
  </si>
  <si>
    <t>1,235K</t>
  </si>
  <si>
    <t>Conditional sections (millions)</t>
  </si>
  <si>
    <t>[&gt;=1000000]0.0,,"M";[&gt;=1000]0.0,"K";0</t>
  </si>
  <si>
    <t>2.5M</t>
  </si>
  <si>
    <t>Conditional sections (thousands)</t>
  </si>
  <si>
    <t>4.2K</t>
  </si>
  <si>
    <t>Negative in parentheses</t>
  </si>
  <si>
    <t>#,##0;(#,##0)</t>
  </si>
  <si>
    <t>(4,321)</t>
  </si>
  <si>
    <t>Formulas (cached results)</t>
  </si>
  <si>
    <t>Product</t>
  </si>
  <si>
    <t>Qty</t>
  </si>
  <si>
    <t>Unit price</t>
  </si>
  <si>
    <t>Total (shared formula)</t>
  </si>
  <si>
    <t>Share (shared, $abs$)</t>
  </si>
  <si>
    <t>In stock</t>
  </si>
  <si>
    <t>Apples</t>
  </si>
  <si>
    <t>Bananas</t>
  </si>
  <si>
    <t>Cherries</t>
  </si>
  <si>
    <t>Dates</t>
  </si>
  <si>
    <t>Elderberries</t>
  </si>
  <si>
    <t>Figs</t>
  </si>
  <si>
    <t>Total</t>
  </si>
  <si>
    <t>Example</t>
  </si>
  <si>
    <t>Formula</t>
  </si>
  <si>
    <t>Result</t>
  </si>
  <si>
    <t>SUM</t>
  </si>
  <si>
    <t>=SUM(B44:B49)</t>
  </si>
  <si>
    <t>AVERAGE</t>
  </si>
  <si>
    <t>=AVERAGE(C44:C49)</t>
  </si>
  <si>
    <t>IF (text result)</t>
  </si>
  <si>
    <t>=IF(D50&gt;50,"Large order","Small order")</t>
  </si>
  <si>
    <t>VLOOKUP</t>
  </si>
  <si>
    <t>=VLOOKUP("Cherries",A44:D49,4,FALSE)</t>
  </si>
  <si>
    <t>CONCAT (Excel 2016+, _xlfn prefix)</t>
  </si>
  <si>
    <t>=_xlfn.CONCAT(A44," x ",B44)</t>
  </si>
  <si>
    <t>&amp; operator with TEXT()</t>
  </si>
  <si>
    <t>=A45&amp;" @ "&amp;TEXT(C45,"$0.00")</t>
  </si>
  <si>
    <t>CONCATENATE</t>
  </si>
  <si>
    <t>=CONCATENATE("Qty: ",B46)</t>
  </si>
  <si>
    <t>Division by zero</t>
  </si>
  <si>
    <t>=B44/0</t>
  </si>
  <si>
    <t>Lookup miss</t>
  </si>
  <si>
    <t>=VLOOKUP("Kiwi",A44:D49,4,FALSE)</t>
  </si>
  <si>
    <t>Boolean result</t>
  </si>
  <si>
    <t>=B44&gt;5</t>
  </si>
  <si>
    <t>Date result</t>
  </si>
  <si>
    <t>=DATE(2024,3,15)+30</t>
  </si>
  <si>
    <t>ROUND(PI(),4)</t>
  </si>
  <si>
    <t>=ROUND(PI(),4)</t>
  </si>
  <si>
    <t>No cached result</t>
  </si>
  <si>
    <t>=1+1</t>
  </si>
  <si>
    <t>No &lt;v&gt; in the file: blank until recalculated (Excel shows 2)</t>
  </si>
  <si>
    <t>Boolean values</t>
  </si>
  <si>
    <t>TRUE / FALSE literals</t>
  </si>
  <si>
    <t>Error value (literal)</t>
  </si>
  <si>
    <t>#N/A stored as a value</t>
  </si>
  <si>
    <t>Name</t>
  </si>
  <si>
    <t>Score</t>
  </si>
  <si>
    <t>Item</t>
  </si>
  <si>
    <t>Sales</t>
  </si>
  <si>
    <t>Code</t>
  </si>
  <si>
    <t>Temp °C</t>
  </si>
  <si>
    <t>Growth</t>
  </si>
  <si>
    <t>Progress</t>
  </si>
  <si>
    <t>Trend</t>
  </si>
  <si>
    <t>vs Avg</t>
  </si>
  <si>
    <t>Conditional formatting rules</t>
  </si>
  <si>
    <t>Alice</t>
  </si>
  <si>
    <t>G7</t>
  </si>
  <si>
    <t>A: expression $B2&gt;90 → bold purple italic</t>
  </si>
  <si>
    <t>Bob</t>
  </si>
  <si>
    <t>Pineapple</t>
  </si>
  <si>
    <t>N13</t>
  </si>
  <si>
    <t>B: cellIs greaterThan 75 → red; between 40 and 60 → yellow</t>
  </si>
  <si>
    <t>Chandra</t>
  </si>
  <si>
    <t>K10</t>
  </si>
  <si>
    <t>C: containsText "apple" → green</t>
  </si>
  <si>
    <t>Dmitri</t>
  </si>
  <si>
    <t>Apple pie</t>
  </si>
  <si>
    <t>P14</t>
  </si>
  <si>
    <t>D: top 3 → blue; bottom 3 → orange</t>
  </si>
  <si>
    <t>Elena</t>
  </si>
  <si>
    <t>Grape</t>
  </si>
  <si>
    <t>A1</t>
  </si>
  <si>
    <t>E: duplicateValues → red</t>
  </si>
  <si>
    <t>Farah</t>
  </si>
  <si>
    <t>Crabapple</t>
  </si>
  <si>
    <t>F6</t>
  </si>
  <si>
    <t>F: 2-color scale white → green</t>
  </si>
  <si>
    <t>Goran</t>
  </si>
  <si>
    <t>G: 3-color scale red → yellow (50th percentile) → green</t>
  </si>
  <si>
    <t>Hiro</t>
  </si>
  <si>
    <t>Kiwi</t>
  </si>
  <si>
    <t>C3</t>
  </si>
  <si>
    <t>H: data bar (gradient, blue)</t>
  </si>
  <si>
    <t>Ines</t>
  </si>
  <si>
    <t>Pear</t>
  </si>
  <si>
    <t>I: icon set 3Arrows (0 / 33 / 67 percent)</t>
  </si>
  <si>
    <t>Jamal</t>
  </si>
  <si>
    <t>Applesauce</t>
  </si>
  <si>
    <t>M12</t>
  </si>
  <si>
    <t>J: aboveAverage → green</t>
  </si>
  <si>
    <t>Kirsten</t>
  </si>
  <si>
    <t>Row 1 has an auto filter (A1:J21).</t>
  </si>
  <si>
    <t>Luis</t>
  </si>
  <si>
    <t>Mei</t>
  </si>
  <si>
    <t>D4</t>
  </si>
  <si>
    <t>Nadia</t>
  </si>
  <si>
    <t>Oskar</t>
  </si>
  <si>
    <t>Priya</t>
  </si>
  <si>
    <t>Quentin</t>
  </si>
  <si>
    <t>Rosa</t>
  </si>
  <si>
    <t>H8</t>
  </si>
  <si>
    <t>Sven</t>
  </si>
  <si>
    <t>Tariq</t>
  </si>
  <si>
    <t>Fruits (source of the FruitList defined name)</t>
  </si>
  <si>
    <t>Lemon</t>
  </si>
  <si>
    <t>Peach</t>
  </si>
  <si>
    <t>This sheet has state="hidden": not shown as a tab, listed by Excel's Unhide dialog.</t>
  </si>
  <si>
    <t>Embedded images (gridlines off, zoom 125 %)</t>
  </si>
  <si>
    <t>One-cell anchor at B4, 120 × 80 px</t>
  </si>
  <si>
    <t>Two-cell anchor E4:H12 (same picture, stretched)</t>
  </si>
  <si>
    <t>Anchor B15 + offset, 240 × 144 px</t>
  </si>
  <si>
    <t>اللغة</t>
  </si>
  <si>
    <t>النص</t>
  </si>
  <si>
    <t>الرقم</t>
  </si>
  <si>
    <t>العربية</t>
  </si>
  <si>
    <t>مرحبا بالعالم</t>
  </si>
  <si>
    <t>עברית</t>
  </si>
  <si>
    <t>שלום עולם</t>
  </si>
  <si>
    <t>English</t>
  </si>
  <si>
    <t>Hello, world</t>
  </si>
  <si>
    <t>Sheet view rightToLeft="1": column A is on the right.</t>
  </si>
  <si>
    <t>This sheet has state="veryHidden": Excel's Unhide dialog does not list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</si>
</sst>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#,##0.000"/>
    <numFmt numFmtId="165" formatCode="$#,##0.00;[Red]-$#,##0.00"/>
    <numFmt numFmtId="166" formatCode="_(&quot;$&quot;* #,##0.00_);_(&quot;$&quot;* \(#,##0.00\);_(&quot;$&quot;* &quot;-&quot;??_);_(@_)"/>
    <numFmt numFmtId="167" formatCode="0.0%;[Red]-0.0%"/>
    <numFmt numFmtId="168" formatCode="# ?/8"/>
    <numFmt numFmtId="169" formatCode="m/d/yyyy"/>
    <numFmt numFmtId="170" formatCode="yyyy-mm-dd hh:mm"/>
    <numFmt numFmtId="171" formatCode="dddd, mmmm d, yyyy"/>
    <numFmt numFmtId="172" formatCode="yyyy&quot;年&quot;m&quot;月&quot;d&quot;日&quot;"/>
    <numFmt numFmtId="173" formatCode="[Blue]0;[Red]-0;&quot;zero&quot;"/>
    <numFmt numFmtId="174" formatCode="0.0 &quot;kg&quot;"/>
    <numFmt numFmtId="175" formatCode="00000"/>
    <numFmt numFmtId="176" formatCode="000-00-0000"/>
    <numFmt numFmtId="177" formatCode="#,##0,&quot;K&quot;"/>
    <numFmt numFmtId="178" formatCode="[&gt;=1000000]0.0,,&quot;M&quot;;[&gt;=1000]0.0,&quot;K&quot;;0"/>
    <numFmt numFmtId="179" formatCode="#,##0;(#,##0)"/>
    <numFmt numFmtId="180" formatCode="$#,##0.00"/>
    <numFmt numFmtId="181" formatCode="0.0%"/>
    <numFmt numFmtId="182" formatCode="0.0000"/>
    <numFmt numFmtId="183" formatCode="0.0"/>
  </numFmts>
  <fonts count="57" x14ac:knownFonts="1">
    <font>
      <color theme="1"/>
      <family val="2"/>
      <scheme val="minor"/>
      <sz val="11"/>
      <name val="Calibri"/>
    </font>
    <font>
      <color rgb="FF7F6000"/>
      <family val="2"/>
      <sz val="11"/>
      <name val="Calibri"/>
    </font>
    <font>
      <b/>
      <color theme="0"/>
      <family val="2"/>
      <sz val="18"/>
      <name val="Calibri Light"/>
    </font>
    <font>
      <b/>
      <color theme="1"/>
      <family val="2"/>
      <sz val="11"/>
      <name val="Calibri"/>
    </font>
    <font>
      <b/>
      <color theme="4" tint="-0.25"/>
      <family val="2"/>
      <sz val="12"/>
      <name val="Calibri"/>
    </font>
    <font>
      <b/>
      <color theme="1" tint="0.25"/>
      <family val="2"/>
      <sz val="11"/>
      <name val="Calibri"/>
    </font>
    <font>
      <sz val="11"/>
      <name val="Calibri"/>
    </font>
    <font>
      <sz val="11"/>
      <name val="Arial"/>
    </font>
    <font>
      <sz val="11"/>
      <name val="Times New Roman"/>
    </font>
    <font>
      <sz val="11"/>
      <name val="Courier New"/>
    </font>
    <font>
      <sz val="11"/>
      <name val="Georgia"/>
    </font>
    <font>
      <sz val="11"/>
      <name val="Verdana"/>
    </font>
    <font>
      <sz val="11"/>
      <name val="Consolas"/>
    </font>
    <font>
      <family val="2"/>
      <sz val="8"/>
      <name val="Calibri"/>
    </font>
    <font>
      <family val="2"/>
      <sz val="10"/>
      <name val="Calibri"/>
    </font>
    <font>
      <family val="2"/>
      <sz val="11"/>
      <name val="Calibri"/>
    </font>
    <font>
      <family val="2"/>
      <sz val="14"/>
      <name val="Calibri"/>
    </font>
    <font>
      <family val="2"/>
      <sz val="18"/>
      <name val="Calibri"/>
    </font>
    <font>
      <family val="2"/>
      <sz val="24"/>
      <name val="Calibri"/>
    </font>
    <font>
      <family val="2"/>
      <sz val="36"/>
      <name val="Calibri"/>
    </font>
    <font>
      <b/>
      <family val="2"/>
      <sz val="11"/>
      <name val="Calibri"/>
    </font>
    <font>
      <i/>
      <family val="2"/>
      <sz val="11"/>
      <name val="Calibri"/>
    </font>
    <font>
      <u/>
      <family val="2"/>
      <sz val="11"/>
      <name val="Calibri"/>
    </font>
    <font>
      <u val="double"/>
      <family val="2"/>
      <sz val="11"/>
      <name val="Calibri"/>
    </font>
    <font>
      <family val="2"/>
      <strike/>
      <sz val="11"/>
      <name val="Calibri"/>
    </font>
    <font>
      <b/>
      <i/>
      <u/>
      <family val="2"/>
      <strike/>
      <sz val="11"/>
      <name val="Calibri"/>
    </font>
    <font>
      <u val="singleAccounting"/>
      <family val="2"/>
      <sz val="11"/>
      <name val="Calibri"/>
    </font>
    <font>
      <family val="2"/>
      <vertAlign val="superscript"/>
      <sz val="11"/>
      <name val="Calibri"/>
    </font>
    <font>
      <family val="2"/>
      <vertAlign val="subscript"/>
      <sz val="11"/>
      <name val="Calibri"/>
    </font>
    <font>
      <b/>
      <color rgb="FFFF0000"/>
      <family val="2"/>
      <sz val="11"/>
      <name val="Calibri"/>
    </font>
    <font>
      <b/>
      <color rgb="FF00B050"/>
      <family val="2"/>
      <sz val="11"/>
      <name val="Calibri"/>
    </font>
    <font>
      <b/>
      <color rgb="FF0070C0"/>
      <family val="2"/>
      <sz val="11"/>
      <name val="Calibri"/>
    </font>
    <font>
      <b/>
      <color rgb="FFFFC000"/>
      <family val="2"/>
      <sz val="11"/>
      <name val="Calibri"/>
    </font>
    <font>
      <b/>
      <color rgb="FF7030A0"/>
      <family val="2"/>
      <sz val="11"/>
      <name val="Calibri"/>
    </font>
    <font>
      <b/>
      <color rgb="FF808080"/>
      <family val="2"/>
      <sz val="11"/>
      <name val="Calibri"/>
    </font>
    <font>
      <b/>
      <color theme="4"/>
      <family val="2"/>
      <sz val="11"/>
      <name val="Calibri"/>
    </font>
    <font>
      <b/>
      <color theme="4" tint="0.4"/>
      <family val="2"/>
      <sz val="11"/>
      <name val="Calibri"/>
    </font>
    <font>
      <b/>
      <color theme="5" tint="-0.25"/>
      <family val="2"/>
      <sz val="11"/>
      <name val="Calibri"/>
    </font>
    <font>
      <b/>
      <color theme="9"/>
      <family val="2"/>
      <sz val="11"/>
      <name val="Calibri"/>
    </font>
    <font>
      <b/>
      <color theme="3"/>
      <family val="2"/>
      <sz val="11"/>
      <name val="Calibri"/>
    </font>
    <font>
      <b/>
      <color theme="10"/>
      <family val="2"/>
      <sz val="11"/>
      <name val="Calibri"/>
    </font>
    <font>
      <b/>
      <color indexed="10"/>
      <family val="2"/>
      <sz val="11"/>
      <name val="Calibri"/>
    </font>
    <font>
      <b/>
      <color indexed="12"/>
      <family val="2"/>
      <sz val="11"/>
      <name val="Calibri"/>
    </font>
    <font>
      <b/>
      <color indexed="17"/>
      <family val="2"/>
      <sz val="11"/>
      <name val="Calibri"/>
    </font>
    <font>
      <b/>
      <color indexed="20"/>
      <family val="2"/>
      <sz val="11"/>
      <name val="Calibri"/>
    </font>
    <font>
      <b/>
      <color indexed="53"/>
      <family val="2"/>
      <sz val="11"/>
      <name val="Calibri"/>
    </font>
    <font>
      <b/>
      <color indexed="64"/>
      <family val="2"/>
      <sz val="11"/>
      <name val="Calibri"/>
    </font>
    <font>
      <color rgb="FFFFFFFF"/>
      <family val="2"/>
      <sz val="11"/>
      <name val="Calibri"/>
    </font>
    <font>
      <color theme="0"/>
      <family val="2"/>
      <sz val="11"/>
      <name val="Calibri"/>
    </font>
    <font>
      <b/>
      <family val="2"/>
      <sz val="9"/>
      <name val="Calibri"/>
    </font>
    <font>
      <family val="2"/>
      <sz val="7"/>
      <name val="Calibri"/>
    </font>
    <font>
      <i/>
      <color rgb="FF7F7F7F"/>
      <family val="2"/>
      <sz val="9"/>
      <name val="Calibri"/>
    </font>
    <font>
      <u/>
      <color theme="10"/>
      <family val="2"/>
      <sz val="11"/>
      <name val="Calibri"/>
    </font>
    <font>
      <i/>
      <color theme="7" tint="-0.5"/>
      <family val="2"/>
      <sz val="11"/>
      <name val="Calibri"/>
    </font>
    <font>
      <family val="3"/>
      <sz val="10"/>
      <name val="Consolas"/>
    </font>
    <font>
      <color rgb="FF595959"/>
      <family val="2"/>
      <sz val="11"/>
      <name val="Calibri"/>
    </font>
    <font>
      <b/>
      <color theme="4" tint="-0.25"/>
      <family val="2"/>
      <sz val="14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4"/>
        <bgColor indexed="64"/>
      </patternFill>
    </fill>
    <fill>
      <patternFill patternType="darkGrid">
        <fgColor rgb="FF2F5597"/>
        <bgColor rgb="FFFFF2CC"/>
      </patternFill>
    </fill>
    <fill>
      <patternFill patternType="lightTrellis">
        <fgColor rgb="FF2F5597"/>
        <bgColor rgb="FFFFF2CC"/>
      </patternFill>
    </fill>
    <fill>
      <patternFill patternType="gray125">
        <fgColor rgb="FF2F5597"/>
        <bgColor rgb="FFFFF2CC"/>
      </patternFill>
    </fill>
    <fill>
      <patternFill patternType="gray0625">
        <fgColor rgb="FF2F5597"/>
        <bgColor rgb="FFFFF2CC"/>
      </patternFill>
    </fill>
    <fill>
      <patternFill patternType="darkVertical">
        <fgColor rgb="FF2F5597"/>
        <bgColor rgb="FFFFF2CC"/>
      </patternFill>
    </fill>
    <fill>
      <patternFill patternType="lightHorizontal">
        <fgColor rgb="FF2F5597"/>
        <bgColor rgb="FFFFF2CC"/>
      </patternFill>
    </fill>
    <fill>
      <patternFill patternType="darkDown">
        <fgColor rgb="FF2F5597"/>
        <bgColor rgb="FFFFF2CC"/>
      </patternFill>
    </fill>
    <fill>
      <patternFill patternType="mediumGray">
        <fgColor rgb="FF2F5597"/>
        <bgColor rgb="FFFFF2CC"/>
      </patternFill>
    </fill>
    <fill>
      <patternFill patternType="darkGray">
        <fgColor rgb="FF2F5597"/>
        <bgColor rgb="FFFFF2CC"/>
      </patternFill>
    </fill>
    <fill>
      <patternFill patternType="lightGray">
        <fgColor rgb="FF2F5597"/>
        <bgColor rgb="FFFFF2CC"/>
      </patternFill>
    </fill>
    <fill>
      <patternFill patternType="darkHorizontal">
        <fgColor rgb="FF2F5597"/>
        <bgColor rgb="FFFFF2CC"/>
      </patternFill>
    </fill>
    <fill>
      <patternFill patternType="darkUp">
        <fgColor rgb="FF2F5597"/>
        <bgColor rgb="FFFFF2CC"/>
      </patternFill>
    </fill>
    <fill>
      <patternFill patternType="darkTrellis">
        <fgColor rgb="FF2F5597"/>
        <bgColor rgb="FFFFF2CC"/>
      </patternFill>
    </fill>
    <fill>
      <patternFill patternType="lightVertical">
        <fgColor rgb="FF2F5597"/>
        <bgColor rgb="FFFFF2CC"/>
      </patternFill>
    </fill>
    <fill>
      <patternFill patternType="lightDown">
        <fgColor theme="5"/>
        <bgColor theme="0"/>
      </patternFill>
    </fill>
    <fill>
      <patternFill patternType="lightUp">
        <fgColor theme="5"/>
        <bgColor theme="0"/>
      </patternFill>
    </fill>
    <fill>
      <patternFill patternType="lightGrid">
        <fgColor theme="5"/>
        <bgColor theme="0"/>
      </patternFill>
    </fill>
    <fill>
      <gradientFill degree="0">
        <stop position="0">
          <color rgb="FFFFFFFF"/>
        </stop>
        <stop position="1">
          <color rgb="FF4472C4"/>
        </stop>
      </gradientFill>
    </fill>
    <fill>
      <gradientFill degree="90">
        <stop position="0">
          <color rgb="FFC00000"/>
        </stop>
        <stop position="0.5">
          <color rgb="FFFFFFFF"/>
        </stop>
        <stop position="1">
          <color rgb="FF00B050"/>
        </stop>
      </gradientFill>
    </fill>
    <fill>
      <gradientFill degree="45">
        <stop position="0">
          <color rgb="FFFFC000"/>
        </stop>
        <stop position="1">
          <color rgb="FF7030A0"/>
        </stop>
      </gradientFill>
    </fill>
    <fill>
      <gradientFill type="path" left="0.5" right="0.5" top="0.5" bottom="0.5">
        <stop position="0">
          <color rgb="FFFFFFFF"/>
        </stop>
        <stop position="1">
          <color theme="5"/>
        </stop>
      </gradient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ck">
        <color rgb="FF1F3864"/>
      </left>
      <right style="thick">
        <color rgb="FF1F3864"/>
      </right>
      <top style="thick">
        <color rgb="FF1F3864"/>
      </top>
      <bottom style="thick">
        <color rgb="FF1F3864"/>
      </bottom>
      <diagonal/>
    </border>
    <border>
      <left style="double">
        <color rgb="FF1F3864"/>
      </left>
      <right style="double">
        <color rgb="FF1F3864"/>
      </right>
      <top style="double">
        <color rgb="FF1F3864"/>
      </top>
      <bottom style="double">
        <color rgb="FF1F3864"/>
      </bottom>
      <diagonal/>
    </border>
    <border>
      <left style="hair">
        <color rgb="FF1F3864"/>
      </left>
      <right style="hair">
        <color rgb="FF1F3864"/>
      </right>
      <top style="hair">
        <color rgb="FF1F3864"/>
      </top>
      <bottom style="hair">
        <color rgb="FF1F3864"/>
      </bottom>
      <diagonal/>
    </border>
    <border>
      <left style="dotted">
        <color rgb="FF1F3864"/>
      </left>
      <right style="dotted">
        <color rgb="FF1F3864"/>
      </right>
      <top style="dotted">
        <color rgb="FF1F3864"/>
      </top>
      <bottom style="dotted">
        <color rgb="FF1F3864"/>
      </bottom>
      <diagonal/>
    </border>
    <border>
      <left style="dashed">
        <color rgb="FF1F3864"/>
      </left>
      <right style="dashed">
        <color rgb="FF1F3864"/>
      </right>
      <top style="dashed">
        <color rgb="FF1F3864"/>
      </top>
      <bottom style="dashed">
        <color rgb="FF1F3864"/>
      </bottom>
      <diagonal/>
    </border>
    <border>
      <left style="mediumDashed">
        <color rgb="FF1F3864"/>
      </left>
      <right style="mediumDashed">
        <color rgb="FF1F3864"/>
      </right>
      <top style="mediumDashed">
        <color rgb="FF1F3864"/>
      </top>
      <bottom style="mediumDashed">
        <color rgb="FF1F3864"/>
      </bottom>
      <diagonal/>
    </border>
    <border>
      <left style="dashDot">
        <color rgb="FF1F3864"/>
      </left>
      <right style="dashDot">
        <color rgb="FF1F3864"/>
      </right>
      <top style="dashDot">
        <color rgb="FF1F3864"/>
      </top>
      <bottom style="dashDot">
        <color rgb="FF1F3864"/>
      </bottom>
      <diagonal/>
    </border>
    <border>
      <left style="mediumDashDot">
        <color rgb="FF1F3864"/>
      </left>
      <right style="mediumDashDot">
        <color rgb="FF1F3864"/>
      </right>
      <top style="mediumDashDot">
        <color rgb="FF1F3864"/>
      </top>
      <bottom style="mediumDashDot">
        <color rgb="FF1F3864"/>
      </bottom>
      <diagonal/>
    </border>
    <border>
      <left style="dashDotDot">
        <color rgb="FF1F3864"/>
      </left>
      <right style="dashDotDot">
        <color rgb="FF1F3864"/>
      </right>
      <top style="dashDotDot">
        <color rgb="FF1F3864"/>
      </top>
      <bottom style="dashDotDot">
        <color rgb="FF1F3864"/>
      </bottom>
      <diagonal/>
    </border>
    <border>
      <left style="mediumDashDotDot">
        <color rgb="FF1F3864"/>
      </left>
      <right style="mediumDashDotDot">
        <color rgb="FF1F3864"/>
      </right>
      <top style="mediumDashDotDot">
        <color rgb="FF1F3864"/>
      </top>
      <bottom style="mediumDashDotDot">
        <color rgb="FF1F3864"/>
      </bottom>
      <diagonal/>
    </border>
    <border>
      <left style="slantDashDot">
        <color rgb="FF1F3864"/>
      </left>
      <right style="slantDashDot">
        <color rgb="FF1F3864"/>
      </right>
      <top style="slantDashDot">
        <color rgb="FF1F3864"/>
      </top>
      <bottom style="slantDashDot">
        <color rgb="FF1F3864"/>
      </bottom>
      <diagonal/>
    </border>
    <border>
      <left style="medium">
        <color rgb="FF595959"/>
      </left>
      <right style="thin">
        <color rgb="FF595959"/>
      </right>
      <top style="medium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medium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595959"/>
      </right>
      <top style="medium">
        <color rgb="FF595959"/>
      </top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 style="medium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ck">
        <color rgb="FF595959"/>
      </top>
      <bottom style="double">
        <color rgb="FF595959"/>
      </bottom>
      <diagonal/>
    </border>
    <border>
      <left style="medium">
        <color rgb="FF595959"/>
      </left>
      <right style="thin">
        <color rgb="FF595959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595959"/>
      </bottom>
      <diagonal/>
    </border>
    <border>
      <left style="thin">
        <color rgb="FF595959"/>
      </left>
      <right style="medium">
        <color rgb="FF595959"/>
      </right>
      <top style="thin">
        <color rgb="FF595959"/>
      </top>
      <bottom style="medium">
        <color rgb="FF595959"/>
      </bottom>
      <diagonal/>
    </border>
    <border>
      <left style="dashed">
        <color rgb="FFFFC000"/>
      </left>
      <right style="medium">
        <color rgb="FF00B050"/>
      </right>
      <top style="thick">
        <color rgb="FFFF0000"/>
      </top>
      <bottom style="double">
        <color rgb="FF0070C0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 diagonalUp="1">
      <left/>
      <right/>
      <top/>
      <bottom/>
      <diagonal style="thin">
        <color rgb="FFC00000"/>
      </diagonal>
    </border>
    <border diagonalDown="1">
      <left/>
      <right/>
      <top/>
      <bottom/>
      <diagonal style="medium">
        <color rgb="FF0070C0"/>
      </diagonal>
    </border>
    <border diagonalUp="1" diagonalDown="1"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 style="dashed">
        <color rgb="FF7F7F7F"/>
      </diagonal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rgb="FF595959"/>
      </top>
      <bottom style="double">
        <color rgb="FF595959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0" fillId="5" borderId="0" xfId="0" applyFill="1"/>
    <xf numFmtId="0" fontId="1" fillId="5" borderId="0" xfId="0" applyFont="1" applyFill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bottom"/>
    </xf>
    <xf numFmtId="0" fontId="14" fillId="0" borderId="0" xfId="0" applyFont="1" applyAlignment="1">
      <alignment vertical="bottom"/>
    </xf>
    <xf numFmtId="0" fontId="15" fillId="0" borderId="0" xfId="0" applyFont="1" applyAlignment="1">
      <alignment vertical="bottom"/>
    </xf>
    <xf numFmtId="0" fontId="16" fillId="0" borderId="0" xfId="0" applyFont="1" applyAlignment="1">
      <alignment vertical="bottom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15" fillId="6" borderId="0" xfId="0" applyFont="1" applyFill="1"/>
    <xf numFmtId="0" fontId="15" fillId="7" borderId="0" xfId="0" applyFont="1" applyFill="1"/>
    <xf numFmtId="0" fontId="15" fillId="8" borderId="0" xfId="0" applyFont="1" applyFill="1"/>
    <xf numFmtId="0" fontId="15" fillId="9" borderId="0" xfId="0" applyFont="1" applyFill="1"/>
    <xf numFmtId="0" fontId="47" fillId="10" borderId="0" xfId="0" applyFont="1" applyFill="1"/>
    <xf numFmtId="0" fontId="0" fillId="11" borderId="0" xfId="0" applyFill="1"/>
    <xf numFmtId="0" fontId="48" fillId="3" borderId="0" xfId="0" applyFont="1" applyFill="1"/>
    <xf numFmtId="0" fontId="48" fillId="12" borderId="0" xfId="0" applyFont="1" applyFill="1"/>
    <xf numFmtId="0" fontId="0" fillId="13" borderId="0" xfId="0" applyFill="1"/>
    <xf numFmtId="0" fontId="0" fillId="14" borderId="0" xfId="0" applyFill="1"/>
    <xf numFmtId="0" fontId="0" fillId="4" borderId="0" xfId="0" applyFill="1"/>
    <xf numFmtId="0" fontId="49" fillId="15" borderId="0" xfId="0" applyFont="1" applyFill="1" applyAlignment="1">
      <alignment horizontal="center" vertical="center"/>
    </xf>
    <xf numFmtId="0" fontId="49" fillId="16" borderId="0" xfId="0" applyFont="1" applyFill="1" applyAlignment="1">
      <alignment horizontal="center" vertical="center"/>
    </xf>
    <xf numFmtId="0" fontId="49" fillId="17" borderId="0" xfId="0" applyFont="1" applyFill="1" applyAlignment="1">
      <alignment horizontal="center" vertical="center"/>
    </xf>
    <xf numFmtId="0" fontId="49" fillId="18" borderId="0" xfId="0" applyFont="1" applyFill="1" applyAlignment="1">
      <alignment horizontal="center" vertical="center"/>
    </xf>
    <xf numFmtId="0" fontId="49" fillId="19" borderId="0" xfId="0" applyFont="1" applyFill="1" applyAlignment="1">
      <alignment horizontal="center" vertical="center"/>
    </xf>
    <xf numFmtId="0" fontId="49" fillId="20" borderId="0" xfId="0" applyFont="1" applyFill="1" applyAlignment="1">
      <alignment horizontal="center" vertical="center"/>
    </xf>
    <xf numFmtId="0" fontId="49" fillId="21" borderId="0" xfId="0" applyFont="1" applyFill="1" applyAlignment="1">
      <alignment horizontal="center" vertical="center"/>
    </xf>
    <xf numFmtId="0" fontId="49" fillId="22" borderId="0" xfId="0" applyFont="1" applyFill="1" applyAlignment="1">
      <alignment horizontal="center" vertical="center"/>
    </xf>
    <xf numFmtId="0" fontId="49" fillId="23" borderId="0" xfId="0" applyFont="1" applyFill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9" fillId="25" borderId="0" xfId="0" applyFont="1" applyFill="1" applyAlignment="1">
      <alignment horizontal="center" vertical="center"/>
    </xf>
    <xf numFmtId="0" fontId="49" fillId="26" borderId="0" xfId="0" applyFont="1" applyFill="1" applyAlignment="1">
      <alignment horizontal="center" vertical="center"/>
    </xf>
    <xf numFmtId="0" fontId="49" fillId="27" borderId="0" xfId="0" applyFont="1" applyFill="1" applyAlignment="1">
      <alignment horizontal="center" vertical="center"/>
    </xf>
    <xf numFmtId="0" fontId="49" fillId="28" borderId="0" xfId="0" applyFont="1" applyFill="1" applyAlignment="1">
      <alignment horizontal="center" vertical="center"/>
    </xf>
    <xf numFmtId="0" fontId="49" fillId="29" borderId="0" xfId="0" applyFont="1" applyFill="1" applyAlignment="1">
      <alignment horizontal="center" vertical="center"/>
    </xf>
    <xf numFmtId="0" fontId="49" fillId="30" borderId="0" xfId="0" applyFont="1" applyFill="1" applyAlignment="1">
      <alignment horizontal="center" vertical="center"/>
    </xf>
    <xf numFmtId="0" fontId="49" fillId="31" borderId="0" xfId="0" applyFont="1" applyFill="1" applyAlignment="1">
      <alignment horizontal="center" vertical="center"/>
    </xf>
    <xf numFmtId="0" fontId="20" fillId="32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0" fillId="35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left" vertical="top"/>
    </xf>
    <xf numFmtId="0" fontId="0" fillId="0" borderId="32" xfId="0" applyBorder="1" applyAlignment="1">
      <alignment horizontal="center" vertical="top"/>
    </xf>
    <xf numFmtId="0" fontId="0" fillId="0" borderId="32" xfId="0" applyBorder="1" applyAlignment="1">
      <alignment horizontal="right" vertical="top"/>
    </xf>
    <xf numFmtId="0" fontId="0" fillId="0" borderId="32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32" xfId="0" applyBorder="1" applyAlignment="1">
      <alignment horizontal="left" vertical="bottom"/>
    </xf>
    <xf numFmtId="0" fontId="0" fillId="0" borderId="32" xfId="0" applyBorder="1" applyAlignment="1">
      <alignment horizontal="center" vertical="bottom"/>
    </xf>
    <xf numFmtId="0" fontId="0" fillId="0" borderId="32" xfId="0" applyBorder="1" applyAlignment="1">
      <alignment horizontal="right" vertical="bottom"/>
    </xf>
    <xf numFmtId="0" fontId="0" fillId="0" borderId="0" xfId="0" applyAlignment="1">
      <alignment horizontal="fill"/>
    </xf>
    <xf numFmtId="0" fontId="0" fillId="0" borderId="0" xfId="0" applyAlignment="1">
      <alignment horizontal="justify" vertical="top"/>
    </xf>
    <xf numFmtId="0" fontId="0" fillId="0" borderId="0" xfId="0" applyAlignment="1">
      <alignment horizontal="distributed" vertical="center"/>
    </xf>
    <xf numFmtId="0" fontId="0" fillId="0" borderId="0" xfId="0" applyAlignment="1">
      <alignment horizontal="centerContinuous" vertical="center"/>
    </xf>
    <xf numFmtId="0" fontId="0" fillId="0" borderId="0" xfId="0" applyAlignment="1">
      <alignment vertical="justify" wrapText="1"/>
    </xf>
    <xf numFmtId="0" fontId="0" fillId="0" borderId="0" xfId="0" applyAlignment="1">
      <alignment vertical="distributed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right" indent="2"/>
    </xf>
    <xf numFmtId="0" fontId="0" fillId="0" borderId="0" xfId="0" applyAlignment="1">
      <alignment horizontal="center" vertical="center" textRotation="45"/>
    </xf>
    <xf numFmtId="0" fontId="0" fillId="0" borderId="0" xfId="0" applyAlignment="1">
      <alignment horizontal="center" vertical="center" textRotation="135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180"/>
    </xf>
    <xf numFmtId="0" fontId="0" fillId="0" borderId="0" xfId="0" applyAlignment="1">
      <alignment horizontal="center" vertical="center" textRotation="255"/>
    </xf>
    <xf numFmtId="0" fontId="0" fillId="0" borderId="0" xfId="0" applyAlignment="1">
      <alignment shrinkToFit="1"/>
    </xf>
    <xf numFmtId="164" fontId="0" fillId="0" borderId="0" xfId="0" applyNumberFormat="1" applyAlignment="1">
      <alignment shrinkToFit="1"/>
    </xf>
    <xf numFmtId="0" fontId="0" fillId="5" borderId="20" xfId="0" applyFill="1" applyBorder="1" applyAlignment="1">
      <alignment horizontal="center" vertical="center"/>
    </xf>
    <xf numFmtId="0" fontId="0" fillId="36" borderId="20" xfId="0" applyFill="1" applyBorder="1" applyAlignment="1">
      <alignment horizontal="center" vertical="center" wrapText="1"/>
    </xf>
    <xf numFmtId="0" fontId="0" fillId="37" borderId="33" xfId="0" applyFill="1" applyBorder="1" applyAlignment="1">
      <alignment horizontal="center" vertical="center" wrapText="1"/>
    </xf>
    <xf numFmtId="0" fontId="0" fillId="38" borderId="2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0" fillId="0" borderId="0" xfId="0" applyFont="1"/>
    <xf numFmtId="0" fontId="51" fillId="0" borderId="0" xfId="0" applyFont="1" applyAlignment="1">
      <alignment horizontal="center"/>
    </xf>
    <xf numFmtId="0" fontId="51" fillId="0" borderId="0" xfId="0" applyFont="1"/>
    <xf numFmtId="0" fontId="52" fillId="0" borderId="0" xfId="0" applyFont="1"/>
    <xf numFmtId="0" fontId="0" fillId="0" borderId="0" xfId="0" applyAlignment="1">
      <alignment horizontal="center"/>
    </xf>
    <xf numFmtId="0" fontId="53" fillId="39" borderId="0" xfId="0" applyFont="1" applyFill="1"/>
    <xf numFmtId="0" fontId="5" fillId="39" borderId="0" xfId="0" applyFont="1" applyFill="1" applyAlignment="1">
      <alignment vertical="center"/>
    </xf>
    <xf numFmtId="49" fontId="54" fillId="0" borderId="0" xfId="0" applyNumberFormat="1" applyFont="1"/>
    <xf numFmtId="49" fontId="55" fillId="0" borderId="0" xfId="0" applyNumberFormat="1" applyFon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10" fontId="0" fillId="0" borderId="0" xfId="0" applyNumberFormat="1"/>
    <xf numFmtId="167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68" fontId="0" fillId="0" borderId="0" xfId="0" applyNumberFormat="1"/>
    <xf numFmtId="169" fontId="0" fillId="0" borderId="0" xfId="0" applyNumberFormat="1"/>
    <xf numFmtId="15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8" fontId="0" fillId="0" borderId="0" xfId="0" applyNumberFormat="1"/>
    <xf numFmtId="21" fontId="0" fillId="0" borderId="0" xfId="0" applyNumberFormat="1"/>
    <xf numFmtId="46" fontId="0" fillId="0" borderId="0" xfId="0" applyNumberFormat="1"/>
    <xf numFmtId="49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4" fillId="5" borderId="0" xfId="0" applyFont="1" applyFill="1"/>
    <xf numFmtId="180" fontId="0" fillId="0" borderId="0" xfId="0" applyNumberFormat="1"/>
    <xf numFmtId="181" fontId="0" fillId="0" borderId="0" xfId="0" applyNumberFormat="1"/>
    <xf numFmtId="0" fontId="20" fillId="0" borderId="34" xfId="0" applyFont="1" applyBorder="1"/>
    <xf numFmtId="180" fontId="20" fillId="0" borderId="34" xfId="0" applyNumberFormat="1" applyFont="1" applyBorder="1"/>
    <xf numFmtId="181" fontId="20" fillId="0" borderId="34" xfId="0" applyNumberFormat="1" applyFont="1" applyBorder="1"/>
    <xf numFmtId="182" fontId="0" fillId="0" borderId="0" xfId="0" applyNumberFormat="1"/>
    <xf numFmtId="183" fontId="0" fillId="0" borderId="0" xfId="0" applyNumberFormat="1"/>
    <xf numFmtId="0" fontId="56" fillId="0" borderId="0" xfId="0" applyFont="1"/>
  </cellXfs>
  <cellStyles count="1">
    <cellStyle name="Normal" xfId="0" builtinId="0"/>
  </cellStyles>
  <dxfs count="8">
    <dxf>
      <font>
        <b/>
        <i/>
        <color rgb="FF7030A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color rgb="FF1F4E78"/>
      </font>
      <fill>
        <patternFill patternType="solid">
          <bgColor rgb="FFBDD7EE"/>
        </patternFill>
      </fill>
    </dxf>
    <dxf>
      <font>
        <color rgb="FF833C0B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375623"/>
      </font>
      <fill>
        <patternFill patternType="solid"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143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twoCell">
    <xdr:from>
      <xdr:col>4</xdr:col>
      <xdr:colOff>0</xdr:colOff>
      <xdr:row>3</xdr:row>
      <xdr:rowOff>0</xdr:rowOff>
    </xdr:from>
    <xdr:to>
      <xdr:col>8</xdr:col>
      <xdr:colOff>0</xdr:colOff>
      <xdr:row>12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1</xdr:col>
      <xdr:colOff>320000</xdr:colOff>
      <xdr:row>14</xdr:row>
      <xdr:rowOff>45000</xdr:rowOff>
    </xdr:from>
    <xdr:ext cx="2286000" cy="1371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de.visualstudio.com/" TargetMode="External"/><Relationship Id="rId2" Type="http://schemas.openxmlformats.org/officeDocument/2006/relationships/hyperlink" Target="mailto:someone@example.com" TargetMode="External"/><Relationship Id="rId4" Type="http://schemas.openxmlformats.org/officeDocument/2006/relationships/hyperlink" Target="#CondFormat!B2" TargetMode="External"/><Relationship Id="rId5" Type="http://schemas.openxmlformats.org/officeDocument/2006/relationships/comments" Target="../comments1.xml"/><Relationship Id="rId6" Type="http://schemas.openxmlformats.org/officeDocument/2006/relationships/vmlDrawing" Target="../drawings/vmlDrawing1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M70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15" outlineLevelRow="0" outlineLevelCol="0" x14ac:dyDescent="55"/>
  <cols>
    <col min="1" max="1" width="30" customWidth="1"/>
    <col min="2" max="2" width="18" customWidth="1"/>
    <col min="3" max="7" width="16" customWidth="1"/>
    <col min="8" max="8" width="18" customWidth="1"/>
    <col min="9" max="9" width="12" customWidth="1"/>
    <col min="10" max="10" width="20" customWidth="1"/>
    <col min="11" max="11" width="14" hidden="1" customWidth="1"/>
    <col min="12" max="12" width="16" customWidth="1"/>
    <col min="13" max="13" width="16" style="1" customWidth="1"/>
  </cols>
  <sheetData>
    <row r="1" ht="36" customHeight="1" spans="1:1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" customHeight="1" spans="1:13" x14ac:dyDescent="0.25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  <c r="K2" s="3" t="s">
        <v>3</v>
      </c>
      <c r="L2" s="3" t="s">
        <v>4</v>
      </c>
      <c r="M2" s="3" t="s">
        <v>5</v>
      </c>
    </row>
    <row r="3" spans="12:12" x14ac:dyDescent="0.25">
      <c r="L3" t="s">
        <v>6</v>
      </c>
    </row>
    <row r="4" ht="21" customHeight="1" spans="1:13" x14ac:dyDescent="0.25">
      <c r="A4" s="5" t="s">
        <v>7</v>
      </c>
      <c r="B4" s="6"/>
      <c r="C4" s="6"/>
      <c r="D4" s="6"/>
      <c r="E4" s="6"/>
      <c r="F4" s="6"/>
      <c r="G4" s="6"/>
      <c r="H4" s="6"/>
      <c r="I4" s="6"/>
      <c r="J4" s="6"/>
      <c r="K4" s="6"/>
      <c r="L4" s="6" t="s">
        <v>8</v>
      </c>
      <c r="M4" s="7"/>
    </row>
    <row r="5" spans="1:12" x14ac:dyDescent="0.25">
      <c r="A5" s="8" t="s">
        <v>9</v>
      </c>
      <c r="B5" s="9" t="s">
        <v>10</v>
      </c>
      <c r="C5" s="10" t="s">
        <v>11</v>
      </c>
      <c r="D5" s="11" t="s">
        <v>12</v>
      </c>
      <c r="E5" s="12" t="s">
        <v>13</v>
      </c>
      <c r="F5" s="13" t="s">
        <v>14</v>
      </c>
      <c r="G5" s="14" t="s">
        <v>15</v>
      </c>
      <c r="H5" s="15" t="s">
        <v>16</v>
      </c>
      <c r="L5" t="s">
        <v>17</v>
      </c>
    </row>
    <row r="6" ht="48" customHeight="1" spans="1:12" x14ac:dyDescent="0.25">
      <c r="A6" s="8" t="s">
        <v>18</v>
      </c>
      <c r="B6" s="16" t="s">
        <v>19</v>
      </c>
      <c r="C6" s="17" t="s">
        <v>20</v>
      </c>
      <c r="D6" s="18" t="s">
        <v>21</v>
      </c>
      <c r="E6" s="19" t="s">
        <v>22</v>
      </c>
      <c r="F6" s="20" t="s">
        <v>23</v>
      </c>
      <c r="G6" s="21" t="s">
        <v>24</v>
      </c>
      <c r="H6" s="22" t="s">
        <v>25</v>
      </c>
      <c r="L6" t="s">
        <v>26</v>
      </c>
    </row>
    <row r="7" spans="1:12" x14ac:dyDescent="0.25">
      <c r="A7" s="8" t="s">
        <v>27</v>
      </c>
      <c r="B7" s="23" t="s">
        <v>28</v>
      </c>
      <c r="C7" s="24" t="s">
        <v>29</v>
      </c>
      <c r="D7" s="25" t="s">
        <v>30</v>
      </c>
      <c r="E7" s="26" t="s">
        <v>31</v>
      </c>
      <c r="F7" s="27" t="s">
        <v>32</v>
      </c>
      <c r="G7" s="28" t="s">
        <v>33</v>
      </c>
      <c r="H7" s="29" t="s">
        <v>34</v>
      </c>
      <c r="L7" t="s">
        <v>35</v>
      </c>
    </row>
    <row r="8" spans="1:12" x14ac:dyDescent="0.25">
      <c r="A8" s="8" t="s">
        <v>36</v>
      </c>
      <c r="B8" t="s">
        <v>37</v>
      </c>
      <c r="C8" t="s">
        <v>38</v>
      </c>
      <c r="D8" s="30" t="s">
        <v>39</v>
      </c>
      <c r="E8" s="31" t="s">
        <v>40</v>
      </c>
      <c r="L8" t="s">
        <v>41</v>
      </c>
    </row>
    <row r="9" spans="1:7" x14ac:dyDescent="0.25">
      <c r="A9" s="8" t="s">
        <v>42</v>
      </c>
      <c r="B9" s="32" t="s">
        <v>43</v>
      </c>
      <c r="C9" s="33" t="s">
        <v>44</v>
      </c>
      <c r="D9" s="34" t="s">
        <v>45</v>
      </c>
      <c r="E9" s="35" t="s">
        <v>46</v>
      </c>
      <c r="F9" s="36" t="s">
        <v>47</v>
      </c>
      <c r="G9" s="37" t="s">
        <v>48</v>
      </c>
    </row>
    <row r="10" spans="1:8" x14ac:dyDescent="0.25">
      <c r="A10" s="8" t="s">
        <v>49</v>
      </c>
      <c r="B10" s="38" t="s">
        <v>50</v>
      </c>
      <c r="C10" s="39" t="s">
        <v>51</v>
      </c>
      <c r="D10" s="40" t="s">
        <v>52</v>
      </c>
      <c r="E10" s="41" t="s">
        <v>53</v>
      </c>
      <c r="F10" s="42" t="s">
        <v>54</v>
      </c>
      <c r="G10" s="43" t="s">
        <v>55</v>
      </c>
      <c r="H10" s="44" t="s">
        <v>56</v>
      </c>
    </row>
    <row r="11" spans="1:7" x14ac:dyDescent="0.25">
      <c r="A11" s="8" t="s">
        <v>57</v>
      </c>
      <c r="B11" s="45" t="s">
        <v>58</v>
      </c>
      <c r="C11" s="46" t="s">
        <v>59</v>
      </c>
      <c r="D11" s="47" t="s">
        <v>60</v>
      </c>
      <c r="E11" s="48" t="s">
        <v>61</v>
      </c>
      <c r="F11" s="49" t="s">
        <v>62</v>
      </c>
      <c r="G11" s="50" t="s">
        <v>63</v>
      </c>
    </row>
    <row r="13" ht="21" customHeight="1" spans="1:13" x14ac:dyDescent="0.25">
      <c r="A13" s="5" t="s">
        <v>64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</row>
    <row r="14" spans="1:6" x14ac:dyDescent="0.25">
      <c r="A14" s="8" t="s">
        <v>65</v>
      </c>
      <c r="B14" s="51" t="s">
        <v>66</v>
      </c>
      <c r="C14" s="52" t="s">
        <v>67</v>
      </c>
      <c r="D14" s="53" t="s">
        <v>68</v>
      </c>
      <c r="E14" s="54" t="s">
        <v>69</v>
      </c>
      <c r="F14" s="55" t="s">
        <v>70</v>
      </c>
    </row>
    <row r="15" spans="1:8" x14ac:dyDescent="0.25">
      <c r="A15" s="8" t="s">
        <v>71</v>
      </c>
      <c r="B15" s="6" t="s">
        <v>72</v>
      </c>
      <c r="C15" s="56" t="s">
        <v>52</v>
      </c>
      <c r="D15" s="57" t="s">
        <v>73</v>
      </c>
      <c r="E15" s="58" t="s">
        <v>74</v>
      </c>
      <c r="F15" s="59" t="s">
        <v>75</v>
      </c>
      <c r="G15" s="60" t="s">
        <v>76</v>
      </c>
      <c r="H15" s="61" t="s">
        <v>77</v>
      </c>
    </row>
    <row r="16" ht="24" customHeight="1" spans="1:8" x14ac:dyDescent="0.25">
      <c r="A16" s="8" t="s">
        <v>78</v>
      </c>
      <c r="B16" s="62" t="s">
        <v>79</v>
      </c>
      <c r="C16" s="63" t="s">
        <v>80</v>
      </c>
      <c r="D16" s="64" t="s">
        <v>81</v>
      </c>
      <c r="E16" s="65" t="s">
        <v>82</v>
      </c>
      <c r="F16" s="66" t="s">
        <v>83</v>
      </c>
      <c r="G16" s="67" t="s">
        <v>84</v>
      </c>
      <c r="H16" s="68" t="s">
        <v>85</v>
      </c>
    </row>
    <row r="17" ht="24" customHeight="1" spans="1:8" x14ac:dyDescent="0.25">
      <c r="A17" s="8" t="s">
        <v>86</v>
      </c>
      <c r="B17" s="69" t="s">
        <v>87</v>
      </c>
      <c r="C17" s="70" t="s">
        <v>88</v>
      </c>
      <c r="D17" s="71" t="s">
        <v>89</v>
      </c>
      <c r="E17" s="72" t="s">
        <v>90</v>
      </c>
      <c r="F17" s="73" t="s">
        <v>91</v>
      </c>
      <c r="G17" s="74" t="s">
        <v>92</v>
      </c>
      <c r="H17" s="75" t="s">
        <v>93</v>
      </c>
    </row>
    <row r="18" ht="24" customHeight="1" spans="1:4" x14ac:dyDescent="0.25">
      <c r="A18" s="8" t="s">
        <v>94</v>
      </c>
      <c r="B18" s="76" t="s">
        <v>95</v>
      </c>
      <c r="C18" s="77" t="s">
        <v>96</v>
      </c>
      <c r="D18" s="78" t="s">
        <v>97</v>
      </c>
    </row>
    <row r="19" ht="32" customHeight="1" spans="1:5" x14ac:dyDescent="0.25">
      <c r="A19" s="8" t="s">
        <v>98</v>
      </c>
      <c r="B19" s="79" t="s">
        <v>99</v>
      </c>
      <c r="C19" s="80" t="s">
        <v>100</v>
      </c>
      <c r="D19" s="81" t="s">
        <v>101</v>
      </c>
      <c r="E19" s="82" t="s">
        <v>102</v>
      </c>
    </row>
    <row r="21" ht="21" customHeight="1" spans="1:13" x14ac:dyDescent="0.25">
      <c r="A21" s="5" t="s">
        <v>103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</row>
    <row r="22" ht="24" customHeight="1" spans="1:8" x14ac:dyDescent="0.25">
      <c r="A22" s="8" t="s">
        <v>104</v>
      </c>
      <c r="B22" s="83" t="s">
        <v>105</v>
      </c>
      <c r="D22" s="84" t="s">
        <v>106</v>
      </c>
      <c r="F22" s="85" t="s">
        <v>107</v>
      </c>
      <c r="H22" s="86" t="s">
        <v>108</v>
      </c>
    </row>
    <row r="23" ht="8" customHeight="1" x14ac:dyDescent="0.25"/>
    <row r="24" ht="24" customHeight="1" spans="2:8" x14ac:dyDescent="0.25">
      <c r="B24" s="87" t="s">
        <v>109</v>
      </c>
      <c r="D24" s="88" t="s">
        <v>110</v>
      </c>
      <c r="F24" s="89" t="s">
        <v>111</v>
      </c>
      <c r="H24" s="90" t="s">
        <v>112</v>
      </c>
    </row>
    <row r="25" ht="8" customHeight="1" x14ac:dyDescent="0.25"/>
    <row r="26" ht="24" customHeight="1" spans="2:8" x14ac:dyDescent="0.25">
      <c r="B26" s="91" t="s">
        <v>113</v>
      </c>
      <c r="D26" s="92" t="s">
        <v>114</v>
      </c>
      <c r="F26" s="93" t="s">
        <v>115</v>
      </c>
      <c r="H26" s="94" t="s">
        <v>116</v>
      </c>
    </row>
    <row r="27" ht="8" customHeight="1" x14ac:dyDescent="0.25"/>
    <row r="28" ht="24" customHeight="1" spans="2:2" x14ac:dyDescent="0.25">
      <c r="B28" s="95" t="s">
        <v>117</v>
      </c>
    </row>
    <row r="29" spans="1:7" x14ac:dyDescent="0.25">
      <c r="A29" s="8" t="s">
        <v>118</v>
      </c>
      <c r="B29" s="96">
        <v>1</v>
      </c>
      <c r="C29" s="97">
        <v>2</v>
      </c>
      <c r="D29" s="98">
        <v>3</v>
      </c>
      <c r="F29" s="99" t="s">
        <v>119</v>
      </c>
      <c r="G29" s="99" t="s">
        <v>120</v>
      </c>
    </row>
    <row r="30" spans="2:6" x14ac:dyDescent="0.25">
      <c r="B30" s="100">
        <v>4</v>
      </c>
      <c r="C30" s="101">
        <v>5</v>
      </c>
      <c r="D30" s="102">
        <v>6</v>
      </c>
      <c r="F30" s="103" t="s">
        <v>121</v>
      </c>
    </row>
    <row r="31" spans="2:4" x14ac:dyDescent="0.25">
      <c r="B31" s="104">
        <v>7</v>
      </c>
      <c r="C31" s="105">
        <v>8</v>
      </c>
      <c r="D31" s="106">
        <v>9</v>
      </c>
    </row>
    <row r="32" ht="30" customHeight="1" spans="1:6" x14ac:dyDescent="0.25">
      <c r="A32" s="8" t="s">
        <v>122</v>
      </c>
      <c r="B32" s="107" t="s">
        <v>123</v>
      </c>
      <c r="D32" s="108" t="s">
        <v>124</v>
      </c>
      <c r="F32" s="109" t="s">
        <v>125</v>
      </c>
    </row>
    <row r="33" ht="36" customHeight="1" spans="1:6" x14ac:dyDescent="0.25">
      <c r="A33" s="8" t="s">
        <v>126</v>
      </c>
      <c r="B33" s="110" t="s">
        <v>127</v>
      </c>
      <c r="D33" s="111" t="s">
        <v>128</v>
      </c>
      <c r="F33" s="112" t="s">
        <v>129</v>
      </c>
    </row>
    <row r="35" ht="21" customHeight="1" spans="1:13" x14ac:dyDescent="0.25">
      <c r="A35" s="5" t="s">
        <v>130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7"/>
    </row>
    <row r="36" ht="36" customHeight="1" spans="1:4" x14ac:dyDescent="0.25">
      <c r="A36" s="8" t="s">
        <v>131</v>
      </c>
      <c r="B36" s="113" t="s">
        <v>132</v>
      </c>
      <c r="C36" s="114" t="s">
        <v>133</v>
      </c>
      <c r="D36" s="115" t="s">
        <v>134</v>
      </c>
    </row>
    <row r="37" ht="36" customHeight="1" spans="2:4" x14ac:dyDescent="0.25">
      <c r="B37" s="116" t="s">
        <v>135</v>
      </c>
      <c r="C37" s="117" t="s">
        <v>136</v>
      </c>
      <c r="D37" s="118" t="s">
        <v>137</v>
      </c>
    </row>
    <row r="38" ht="36" customHeight="1" spans="2:4" x14ac:dyDescent="0.25">
      <c r="B38" s="119" t="s">
        <v>138</v>
      </c>
      <c r="C38" s="120" t="s">
        <v>139</v>
      </c>
      <c r="D38" s="121" t="s">
        <v>140</v>
      </c>
    </row>
    <row r="39" ht="48" customHeight="1" spans="1:6" x14ac:dyDescent="0.25">
      <c r="A39" s="8" t="s">
        <v>141</v>
      </c>
      <c r="B39" s="122" t="s">
        <v>142</v>
      </c>
      <c r="C39" s="123" t="s">
        <v>143</v>
      </c>
      <c r="D39" s="124" t="s">
        <v>144</v>
      </c>
      <c r="E39" s="125" t="s">
        <v>145</v>
      </c>
      <c r="F39" s="125"/>
    </row>
    <row r="40" ht="64" customHeight="1" spans="1:3" x14ac:dyDescent="0.25">
      <c r="A40" s="8" t="s">
        <v>146</v>
      </c>
      <c r="B40" s="126" t="s">
        <v>147</v>
      </c>
      <c r="C40" s="127" t="s">
        <v>148</v>
      </c>
    </row>
    <row r="41" ht="60" customHeight="1" spans="1:5" x14ac:dyDescent="0.25">
      <c r="A41" s="8" t="s">
        <v>149</v>
      </c>
      <c r="B41" s="128" t="s">
        <v>150</v>
      </c>
      <c r="C41" s="128" t="s">
        <v>151</v>
      </c>
      <c r="D41" t="s">
        <v>152</v>
      </c>
      <c r="E41" t="s">
        <v>153</v>
      </c>
    </row>
    <row r="42" spans="1:8" x14ac:dyDescent="0.25">
      <c r="A42" s="8" t="s">
        <v>154</v>
      </c>
      <c r="B42" t="s">
        <v>155</v>
      </c>
      <c r="E42" s="24" t="s">
        <v>156</v>
      </c>
      <c r="H42" s="129" t="s">
        <v>157</v>
      </c>
    </row>
    <row r="43" spans="1:5" x14ac:dyDescent="0.25">
      <c r="A43" s="8" t="s">
        <v>158</v>
      </c>
      <c r="B43" s="130" t="s">
        <v>159</v>
      </c>
      <c r="C43" s="131" t="s">
        <v>160</v>
      </c>
      <c r="D43" s="132" t="s">
        <v>161</v>
      </c>
      <c r="E43" s="133" t="s">
        <v>162</v>
      </c>
    </row>
    <row r="44" ht="72" customHeight="1" spans="1:6" x14ac:dyDescent="0.25">
      <c r="A44" s="8" t="s">
        <v>163</v>
      </c>
      <c r="B44" s="134" t="s">
        <v>164</v>
      </c>
      <c r="C44" s="135" t="s">
        <v>165</v>
      </c>
      <c r="D44" s="136" t="s">
        <v>166</v>
      </c>
      <c r="E44" s="137" t="s">
        <v>167</v>
      </c>
      <c r="F44" s="138" t="s">
        <v>168</v>
      </c>
    </row>
    <row r="45" spans="1:3" x14ac:dyDescent="0.25">
      <c r="A45" s="8" t="s">
        <v>169</v>
      </c>
      <c r="B45" s="139" t="s">
        <v>170</v>
      </c>
      <c r="C45" s="140">
        <v>1234567.891</v>
      </c>
    </row>
    <row r="47" ht="21" customHeight="1" spans="1:13" x14ac:dyDescent="0.25">
      <c r="A47" s="5" t="s">
        <v>171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7"/>
    </row>
    <row r="48" spans="1:10" x14ac:dyDescent="0.25">
      <c r="A48" s="8" t="s">
        <v>172</v>
      </c>
      <c r="B48" s="141" t="s">
        <v>173</v>
      </c>
      <c r="C48" s="141"/>
      <c r="D48" s="141"/>
      <c r="F48" s="142" t="s">
        <v>174</v>
      </c>
      <c r="H48" s="143" t="s">
        <v>175</v>
      </c>
      <c r="I48" s="143"/>
      <c r="J48" s="143"/>
    </row>
    <row r="49" spans="1:10" x14ac:dyDescent="0.25">
      <c r="A49" s="8" t="s">
        <v>176</v>
      </c>
      <c r="B49" s="144" t="s">
        <v>177</v>
      </c>
      <c r="C49" s="144"/>
      <c r="D49" s="144"/>
      <c r="F49" s="142"/>
      <c r="H49" s="143"/>
      <c r="I49" s="143"/>
      <c r="J49" s="143"/>
    </row>
    <row r="50" spans="1:10" x14ac:dyDescent="0.25">
      <c r="A50" s="8" t="s">
        <v>178</v>
      </c>
      <c r="B50" s="144"/>
      <c r="C50" s="144"/>
      <c r="D50" s="144"/>
      <c r="F50" s="142"/>
      <c r="H50" s="143"/>
      <c r="I50" s="143"/>
      <c r="J50" s="143"/>
    </row>
    <row r="52" ht="21" customHeight="1" spans="1:13" x14ac:dyDescent="0.25">
      <c r="A52" s="5" t="s">
        <v>179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</row>
    <row r="53" ht="32" customHeight="1" spans="1:2" x14ac:dyDescent="0.25">
      <c r="A53" s="8" t="s">
        <v>180</v>
      </c>
      <c r="B53" s="145" t="s">
        <v>181</v>
      </c>
    </row>
    <row r="54" ht="10" customHeight="1" spans="1:2" x14ac:dyDescent="0.25">
      <c r="A54" s="8" t="s">
        <v>182</v>
      </c>
      <c r="B54" s="146" t="s">
        <v>183</v>
      </c>
    </row>
    <row r="55" spans="1:1" x14ac:dyDescent="0.25">
      <c r="A55" s="8" t="s">
        <v>184</v>
      </c>
    </row>
    <row r="56" hidden="1" spans="1:2" x14ac:dyDescent="0.25">
      <c r="A56" s="8" t="s">
        <v>185</v>
      </c>
      <c r="B56" t="s">
        <v>186</v>
      </c>
    </row>
    <row r="57" spans="1:1" x14ac:dyDescent="0.25">
      <c r="A57" s="8" t="s">
        <v>187</v>
      </c>
    </row>
    <row r="58" spans="1:11" x14ac:dyDescent="0.25">
      <c r="A58" s="8" t="s">
        <v>188</v>
      </c>
      <c r="B58" s="147" t="s">
        <v>189</v>
      </c>
      <c r="C58" s="147" t="s">
        <v>190</v>
      </c>
      <c r="D58" s="147" t="s">
        <v>191</v>
      </c>
      <c r="E58" s="147" t="s">
        <v>192</v>
      </c>
      <c r="F58" s="147" t="s">
        <v>193</v>
      </c>
      <c r="G58" s="147" t="s">
        <v>194</v>
      </c>
      <c r="H58" s="147" t="s">
        <v>195</v>
      </c>
      <c r="I58" s="147" t="s">
        <v>196</v>
      </c>
      <c r="J58" s="147" t="s">
        <v>197</v>
      </c>
      <c r="K58" s="148" t="s">
        <v>198</v>
      </c>
    </row>
    <row r="60" ht="21" customHeight="1" spans="1:13" x14ac:dyDescent="0.25">
      <c r="A60" s="5" t="s">
        <v>199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7"/>
    </row>
    <row r="61" spans="1:2" x14ac:dyDescent="0.25">
      <c r="A61" s="8" t="s">
        <v>200</v>
      </c>
      <c r="B61" t="s">
        <v>201</v>
      </c>
    </row>
    <row r="62" spans="1:6" x14ac:dyDescent="0.25">
      <c r="A62" s="8" t="s">
        <v>202</v>
      </c>
      <c r="B62" s="149" t="s">
        <v>203</v>
      </c>
      <c r="C62" s="149" t="s">
        <v>204</v>
      </c>
      <c r="D62" s="149" t="s">
        <v>205</v>
      </c>
      <c r="E62" s="149" t="s">
        <v>206</v>
      </c>
      <c r="F62" s="149" t="str">
        <f>HYPERLINK("https://example.com/","HYPERLINK()")</f>
        <v>HYPERLINK()</v>
      </c>
    </row>
    <row r="63" spans="1:6" x14ac:dyDescent="0.25">
      <c r="A63" s="8" t="s">
        <v>207</v>
      </c>
      <c r="B63" s="148" t="s">
        <v>208</v>
      </c>
      <c r="C63" s="148" t="s">
        <v>209</v>
      </c>
      <c r="D63" s="148" t="s">
        <v>210</v>
      </c>
      <c r="E63" s="148" t="s">
        <v>211</v>
      </c>
      <c r="F63" s="148" t="s">
        <v>212</v>
      </c>
    </row>
    <row r="64" spans="1:4" x14ac:dyDescent="0.25">
      <c r="A64" s="8" t="s">
        <v>213</v>
      </c>
      <c r="B64" t="s">
        <v>214</v>
      </c>
      <c r="C64" t="s">
        <v>215</v>
      </c>
      <c r="D64" s="150">
        <v>42</v>
      </c>
    </row>
    <row r="65" spans="1:6" x14ac:dyDescent="0.25">
      <c r="A65" s="8" t="s">
        <v>216</v>
      </c>
      <c r="B65" t="s">
        <v>44</v>
      </c>
      <c r="C65" t="s">
        <v>8</v>
      </c>
      <c r="D65" t="s">
        <v>217</v>
      </c>
      <c r="E65" t="s">
        <v>218</v>
      </c>
      <c r="F65" s="150">
        <v>50</v>
      </c>
    </row>
    <row r="66" spans="1:6" x14ac:dyDescent="0.25">
      <c r="A66" s="8" t="s">
        <v>219</v>
      </c>
      <c r="B66" s="148" t="s">
        <v>220</v>
      </c>
      <c r="C66" s="148" t="s">
        <v>221</v>
      </c>
      <c r="D66" s="148" t="s">
        <v>222</v>
      </c>
      <c r="E66" s="148" t="s">
        <v>223</v>
      </c>
      <c r="F66" s="148" t="s">
        <v>224</v>
      </c>
    </row>
    <row r="68" ht="21" customHeight="1" spans="1:13" x14ac:dyDescent="0.25">
      <c r="A68" s="5" t="s">
        <v>225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7"/>
    </row>
    <row r="69" spans="1:2" s="151" customFormat="1" x14ac:dyDescent="0.25">
      <c r="A69" s="152" t="s">
        <v>226</v>
      </c>
      <c r="B69" s="151" t="s">
        <v>227</v>
      </c>
    </row>
    <row r="70" spans="1:2" x14ac:dyDescent="0.25">
      <c r="A70" s="8" t="s">
        <v>228</v>
      </c>
      <c r="B70" s="148" t="s">
        <v>229</v>
      </c>
    </row>
  </sheetData>
  <mergeCells count="6">
    <mergeCell ref="A1:M1"/>
    <mergeCell ref="B2:J2"/>
    <mergeCell ref="B48:D48"/>
    <mergeCell ref="H48:J50"/>
    <mergeCell ref="B49:D50"/>
    <mergeCell ref="F48:F50"/>
  </mergeCells>
  <dataValidations count="5">
    <dataValidation type="list" allowBlank="1" showErrorMessage="1" errorStyle="stop" errorTitle="Invalid color" error="Choose Red, Green or Blue." sqref="B65">
      <formula1>"Red,Green,Blue"</formula1>
    </dataValidation>
    <dataValidation type="list" allowBlank="1" showErrorMessage="1" sqref="C65">
      <formula1>$L$3:$L$8</formula1>
    </dataValidation>
    <dataValidation type="list" allowBlank="1" showErrorMessage="1" sqref="D65">
      <formula1>FruitList</formula1>
    </dataValidation>
    <dataValidation type="list" allowBlank="1" showErrorMessage="1" sqref="E65">
      <formula1>Hidden!$A$2:$A$7</formula1>
    </dataValidation>
    <dataValidation type="whole" allowBlank="1" showInputMessage="1" promptTitle="Whole number" prompt="Enter a whole number between 1 and 100." showErrorMessage="1" sqref="F65">
      <formula1>1</formula1>
      <formula2>100</formula2>
    </dataValidation>
  </dataValidations>
  <hyperlinks>
    <hyperlink ref="B62" r:id="rId1" tooltip="https://code.visualstudio.com/"/>
    <hyperlink ref="C62" r:id="rId2"/>
    <hyperlink ref="D62" location="Numbers!A1"/>
    <hyperlink ref="E62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F6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24" customWidth="1"/>
    <col min="4" max="4" width="16" customWidth="1"/>
    <col min="5" max="5" width="44" customWidth="1"/>
    <col min="6" max="6" width="14" customWidth="1"/>
  </cols>
  <sheetData>
    <row r="1" ht="20" customHeight="1" spans="1:5" x14ac:dyDescent="0.25">
      <c r="A1" s="3" t="s">
        <v>230</v>
      </c>
      <c r="B1" s="3" t="s">
        <v>231</v>
      </c>
      <c r="C1" s="3" t="s">
        <v>232</v>
      </c>
      <c r="D1" s="3" t="s">
        <v>233</v>
      </c>
      <c r="E1" s="3" t="s">
        <v>234</v>
      </c>
    </row>
    <row r="2" spans="1:5" x14ac:dyDescent="0.25">
      <c r="A2" t="s">
        <v>235</v>
      </c>
      <c r="B2" s="153" t="s">
        <v>235</v>
      </c>
      <c r="C2">
        <v>1234.5678</v>
      </c>
      <c r="D2">
        <v>1234.5678</v>
      </c>
      <c r="E2" s="154" t="s">
        <v>236</v>
      </c>
    </row>
    <row r="3" spans="1:5" x14ac:dyDescent="0.25">
      <c r="A3" t="s">
        <v>237</v>
      </c>
      <c r="B3" s="153" t="s">
        <v>235</v>
      </c>
      <c r="C3">
        <v>123456789012</v>
      </c>
      <c r="D3">
        <v>123456789012</v>
      </c>
      <c r="E3" s="154" t="s">
        <v>238</v>
      </c>
    </row>
    <row r="4" spans="1:5" x14ac:dyDescent="0.25">
      <c r="A4" t="s">
        <v>239</v>
      </c>
      <c r="B4" s="153" t="s">
        <v>235</v>
      </c>
      <c r="C4">
        <v>0.000012345</v>
      </c>
      <c r="D4">
        <v>0.000012345</v>
      </c>
      <c r="E4" s="154" t="s">
        <v>240</v>
      </c>
    </row>
    <row r="5" spans="1:5" x14ac:dyDescent="0.25">
      <c r="A5" t="s">
        <v>241</v>
      </c>
      <c r="B5" s="153" t="s">
        <v>242</v>
      </c>
      <c r="C5" s="155">
        <v>3.14159</v>
      </c>
      <c r="D5">
        <v>3.14159</v>
      </c>
      <c r="E5" s="154" t="s">
        <v>243</v>
      </c>
    </row>
    <row r="6" spans="1:5" x14ac:dyDescent="0.25">
      <c r="A6" t="s">
        <v>244</v>
      </c>
      <c r="B6" s="153" t="s">
        <v>245</v>
      </c>
      <c r="C6" s="156">
        <v>1234567.891</v>
      </c>
      <c r="D6">
        <v>1234567.891</v>
      </c>
      <c r="E6" s="154" t="s">
        <v>246</v>
      </c>
    </row>
    <row r="7" spans="1:5" x14ac:dyDescent="0.25">
      <c r="A7" t="s">
        <v>247</v>
      </c>
      <c r="B7" s="153" t="s">
        <v>248</v>
      </c>
      <c r="C7" s="157">
        <v>-9876.5</v>
      </c>
      <c r="D7">
        <v>-9876.5</v>
      </c>
      <c r="E7" s="154" t="s">
        <v>249</v>
      </c>
    </row>
    <row r="8" spans="1:5" x14ac:dyDescent="0.25">
      <c r="A8" t="s">
        <v>250</v>
      </c>
      <c r="B8" s="153" t="s">
        <v>251</v>
      </c>
      <c r="C8" s="158">
        <v>1234.5</v>
      </c>
      <c r="D8">
        <v>1234.5</v>
      </c>
      <c r="E8" s="154" t="s">
        <v>252</v>
      </c>
    </row>
    <row r="9" spans="1:5" x14ac:dyDescent="0.25">
      <c r="A9" t="s">
        <v>253</v>
      </c>
      <c r="B9" s="153" t="s">
        <v>251</v>
      </c>
      <c r="C9" s="158">
        <v>-1234.5</v>
      </c>
      <c r="D9">
        <v>-1234.5</v>
      </c>
      <c r="E9" s="154" t="s">
        <v>254</v>
      </c>
    </row>
    <row r="10" spans="1:5" x14ac:dyDescent="0.25">
      <c r="A10" t="s">
        <v>255</v>
      </c>
      <c r="B10" s="153" t="s">
        <v>256</v>
      </c>
      <c r="C10" s="159">
        <v>1234.5</v>
      </c>
      <c r="D10">
        <v>1234.5</v>
      </c>
      <c r="E10" s="154" t="s">
        <v>257</v>
      </c>
    </row>
    <row r="11" spans="1:5" x14ac:dyDescent="0.25">
      <c r="A11" t="s">
        <v>258</v>
      </c>
      <c r="B11" s="153" t="s">
        <v>256</v>
      </c>
      <c r="C11" s="159">
        <v>-1234.5</v>
      </c>
      <c r="D11">
        <v>-1234.5</v>
      </c>
      <c r="E11" s="154" t="s">
        <v>259</v>
      </c>
    </row>
    <row r="12" spans="1:5" x14ac:dyDescent="0.25">
      <c r="A12" t="s">
        <v>260</v>
      </c>
      <c r="B12" s="153" t="s">
        <v>256</v>
      </c>
      <c r="C12" s="159">
        <v>0</v>
      </c>
      <c r="D12">
        <v>0</v>
      </c>
      <c r="E12" s="154" t="s">
        <v>261</v>
      </c>
    </row>
    <row r="13" spans="1:5" x14ac:dyDescent="0.25">
      <c r="A13" t="s">
        <v>262</v>
      </c>
      <c r="B13" s="153" t="s">
        <v>263</v>
      </c>
      <c r="C13" s="160">
        <v>0.256</v>
      </c>
      <c r="D13">
        <v>0.256</v>
      </c>
      <c r="E13" s="154" t="s">
        <v>264</v>
      </c>
    </row>
    <row r="14" spans="1:5" x14ac:dyDescent="0.25">
      <c r="A14" t="s">
        <v>265</v>
      </c>
      <c r="B14" s="153" t="s">
        <v>266</v>
      </c>
      <c r="C14" s="161">
        <v>0.0525</v>
      </c>
      <c r="D14">
        <v>0.0525</v>
      </c>
      <c r="E14" s="154" t="s">
        <v>267</v>
      </c>
    </row>
    <row r="15" spans="1:5" x14ac:dyDescent="0.25">
      <c r="A15" t="s">
        <v>268</v>
      </c>
      <c r="B15" s="153" t="s">
        <v>269</v>
      </c>
      <c r="C15" s="162">
        <v>-0.034</v>
      </c>
      <c r="D15">
        <v>-0.034</v>
      </c>
      <c r="E15" s="154" t="s">
        <v>270</v>
      </c>
    </row>
    <row r="16" spans="1:5" x14ac:dyDescent="0.25">
      <c r="A16" t="s">
        <v>271</v>
      </c>
      <c r="B16" s="153" t="s">
        <v>272</v>
      </c>
      <c r="C16" s="163">
        <v>12345.678</v>
      </c>
      <c r="D16">
        <v>12345.678</v>
      </c>
      <c r="E16" s="154" t="s">
        <v>273</v>
      </c>
    </row>
    <row r="17" spans="1:5" x14ac:dyDescent="0.25">
      <c r="A17" t="s">
        <v>274</v>
      </c>
      <c r="B17" s="153" t="s">
        <v>272</v>
      </c>
      <c r="C17" s="163">
        <v>0.000123</v>
      </c>
      <c r="D17">
        <v>0.000123</v>
      </c>
      <c r="E17" s="154" t="s">
        <v>275</v>
      </c>
    </row>
    <row r="18" spans="1:5" x14ac:dyDescent="0.25">
      <c r="A18" t="s">
        <v>276</v>
      </c>
      <c r="B18" s="153" t="s">
        <v>277</v>
      </c>
      <c r="C18" s="164">
        <v>1.25</v>
      </c>
      <c r="D18">
        <v>1.25</v>
      </c>
      <c r="E18" s="154" t="s">
        <v>278</v>
      </c>
    </row>
    <row r="19" spans="1:5" x14ac:dyDescent="0.25">
      <c r="A19" t="s">
        <v>279</v>
      </c>
      <c r="B19" s="153" t="s">
        <v>280</v>
      </c>
      <c r="C19" s="165">
        <v>3.14159</v>
      </c>
      <c r="D19">
        <v>3.14159</v>
      </c>
      <c r="E19" s="154" t="s">
        <v>281</v>
      </c>
    </row>
    <row r="20" spans="1:5" x14ac:dyDescent="0.25">
      <c r="A20" t="s">
        <v>282</v>
      </c>
      <c r="B20" s="153" t="s">
        <v>283</v>
      </c>
      <c r="C20" s="166">
        <v>2.375</v>
      </c>
      <c r="D20">
        <v>2.375</v>
      </c>
      <c r="E20" s="154" t="s">
        <v>284</v>
      </c>
    </row>
    <row r="21" spans="1:5" x14ac:dyDescent="0.25">
      <c r="A21" t="s">
        <v>285</v>
      </c>
      <c r="B21" s="153" t="s">
        <v>286</v>
      </c>
      <c r="C21" s="167">
        <v>45366</v>
      </c>
      <c r="D21">
        <v>45366</v>
      </c>
      <c r="E21" s="154" t="s">
        <v>287</v>
      </c>
    </row>
    <row r="22" spans="1:5" x14ac:dyDescent="0.25">
      <c r="A22" t="s">
        <v>288</v>
      </c>
      <c r="B22" s="153" t="s">
        <v>289</v>
      </c>
      <c r="C22" s="168">
        <v>45366</v>
      </c>
      <c r="D22">
        <v>45366</v>
      </c>
      <c r="E22" s="154" t="s">
        <v>290</v>
      </c>
    </row>
    <row r="23" spans="1:5" x14ac:dyDescent="0.25">
      <c r="A23" t="s">
        <v>291</v>
      </c>
      <c r="B23" s="153" t="s">
        <v>292</v>
      </c>
      <c r="C23" s="169">
        <v>45366.60416666667</v>
      </c>
      <c r="D23">
        <v>45366.60416666667</v>
      </c>
      <c r="E23" s="154" t="s">
        <v>293</v>
      </c>
    </row>
    <row r="24" spans="1:5" x14ac:dyDescent="0.25">
      <c r="A24" t="s">
        <v>294</v>
      </c>
      <c r="B24" s="153" t="s">
        <v>295</v>
      </c>
      <c r="C24" s="170">
        <v>45366</v>
      </c>
      <c r="D24">
        <v>45366</v>
      </c>
      <c r="E24" s="154" t="s">
        <v>296</v>
      </c>
    </row>
    <row r="25" spans="1:5" x14ac:dyDescent="0.25">
      <c r="A25" t="s">
        <v>297</v>
      </c>
      <c r="B25" s="153" t="s">
        <v>298</v>
      </c>
      <c r="C25" s="171">
        <v>45366</v>
      </c>
      <c r="D25">
        <v>45366</v>
      </c>
      <c r="E25" s="154" t="s">
        <v>299</v>
      </c>
    </row>
    <row r="26" spans="1:5" x14ac:dyDescent="0.25">
      <c r="A26" t="s">
        <v>300</v>
      </c>
      <c r="B26" s="153" t="s">
        <v>301</v>
      </c>
      <c r="C26" s="172">
        <v>0.6041666666666666</v>
      </c>
      <c r="D26">
        <v>0.6041666666666666</v>
      </c>
      <c r="E26" s="154" t="s">
        <v>302</v>
      </c>
    </row>
    <row r="27" spans="1:5" x14ac:dyDescent="0.25">
      <c r="A27" t="s">
        <v>303</v>
      </c>
      <c r="B27" s="153" t="s">
        <v>304</v>
      </c>
      <c r="C27" s="173">
        <v>0.7501736111111111</v>
      </c>
      <c r="D27">
        <v>0.7501736111111111</v>
      </c>
      <c r="E27" s="154" t="s">
        <v>305</v>
      </c>
    </row>
    <row r="28" spans="1:5" x14ac:dyDescent="0.25">
      <c r="A28" t="s">
        <v>306</v>
      </c>
      <c r="B28" s="153" t="s">
        <v>307</v>
      </c>
      <c r="C28" s="174">
        <v>1.5</v>
      </c>
      <c r="D28">
        <v>1.5</v>
      </c>
      <c r="E28" s="154" t="s">
        <v>308</v>
      </c>
    </row>
    <row r="29" spans="1:5" x14ac:dyDescent="0.25">
      <c r="A29" t="s">
        <v>309</v>
      </c>
      <c r="B29" s="153" t="s">
        <v>310</v>
      </c>
      <c r="C29" s="175" t="s">
        <v>311</v>
      </c>
      <c r="D29" s="175" t="s">
        <v>311</v>
      </c>
      <c r="E29" s="154" t="s">
        <v>311</v>
      </c>
    </row>
    <row r="30" spans="1:5" x14ac:dyDescent="0.25">
      <c r="A30" t="s">
        <v>312</v>
      </c>
      <c r="B30" s="153" t="s">
        <v>310</v>
      </c>
      <c r="C30" s="175">
        <v>42</v>
      </c>
      <c r="D30">
        <v>42</v>
      </c>
      <c r="E30" s="154" t="s">
        <v>313</v>
      </c>
    </row>
    <row r="31" spans="1:5" x14ac:dyDescent="0.25">
      <c r="A31" t="s">
        <v>314</v>
      </c>
      <c r="B31" s="153" t="s">
        <v>315</v>
      </c>
      <c r="C31" s="176">
        <v>5</v>
      </c>
      <c r="D31">
        <v>5</v>
      </c>
      <c r="E31" s="154" t="s">
        <v>316</v>
      </c>
    </row>
    <row r="32" spans="1:5" x14ac:dyDescent="0.25">
      <c r="A32" t="s">
        <v>317</v>
      </c>
      <c r="B32" s="153" t="s">
        <v>315</v>
      </c>
      <c r="C32" s="176">
        <v>-5</v>
      </c>
      <c r="D32">
        <v>-5</v>
      </c>
      <c r="E32" s="154" t="s">
        <v>318</v>
      </c>
    </row>
    <row r="33" spans="1:5" x14ac:dyDescent="0.25">
      <c r="A33" t="s">
        <v>319</v>
      </c>
      <c r="B33" s="153" t="s">
        <v>315</v>
      </c>
      <c r="C33" s="176">
        <v>0</v>
      </c>
      <c r="D33">
        <v>0</v>
      </c>
      <c r="E33" s="154" t="s">
        <v>320</v>
      </c>
    </row>
    <row r="34" spans="1:5" x14ac:dyDescent="0.25">
      <c r="A34" t="s">
        <v>321</v>
      </c>
      <c r="B34" s="153" t="s">
        <v>322</v>
      </c>
      <c r="C34" s="177">
        <v>72.456</v>
      </c>
      <c r="D34">
        <v>72.456</v>
      </c>
      <c r="E34" s="154" t="s">
        <v>323</v>
      </c>
    </row>
    <row r="35" spans="1:5" x14ac:dyDescent="0.25">
      <c r="A35" t="s">
        <v>324</v>
      </c>
      <c r="B35" s="153" t="s">
        <v>325</v>
      </c>
      <c r="C35" s="178">
        <v>501</v>
      </c>
      <c r="D35">
        <v>501</v>
      </c>
      <c r="E35" s="154" t="s">
        <v>326</v>
      </c>
    </row>
    <row r="36" spans="1:5" x14ac:dyDescent="0.25">
      <c r="A36" t="s">
        <v>327</v>
      </c>
      <c r="B36" s="153" t="s">
        <v>328</v>
      </c>
      <c r="C36" s="179">
        <v>123456789</v>
      </c>
      <c r="D36">
        <v>123456789</v>
      </c>
      <c r="E36" s="154" t="s">
        <v>329</v>
      </c>
    </row>
    <row r="37" spans="1:5" x14ac:dyDescent="0.25">
      <c r="A37" t="s">
        <v>330</v>
      </c>
      <c r="B37" s="153" t="s">
        <v>331</v>
      </c>
      <c r="C37" s="180">
        <v>1234567</v>
      </c>
      <c r="D37">
        <v>1234567</v>
      </c>
      <c r="E37" s="154" t="s">
        <v>332</v>
      </c>
    </row>
    <row r="38" spans="1:5" x14ac:dyDescent="0.25">
      <c r="A38" t="s">
        <v>333</v>
      </c>
      <c r="B38" s="153" t="s">
        <v>334</v>
      </c>
      <c r="C38" s="181">
        <v>2500000</v>
      </c>
      <c r="D38">
        <v>2500000</v>
      </c>
      <c r="E38" s="154" t="s">
        <v>335</v>
      </c>
    </row>
    <row r="39" spans="1:5" x14ac:dyDescent="0.25">
      <c r="A39" t="s">
        <v>336</v>
      </c>
      <c r="B39" s="153" t="s">
        <v>334</v>
      </c>
      <c r="C39" s="181">
        <v>4200</v>
      </c>
      <c r="D39">
        <v>4200</v>
      </c>
      <c r="E39" s="154" t="s">
        <v>337</v>
      </c>
    </row>
    <row r="40" spans="1:5" x14ac:dyDescent="0.25">
      <c r="A40" t="s">
        <v>338</v>
      </c>
      <c r="B40" s="153" t="s">
        <v>339</v>
      </c>
      <c r="C40" s="182">
        <v>-4321</v>
      </c>
      <c r="D40">
        <v>-4321</v>
      </c>
      <c r="E40" s="154" t="s">
        <v>340</v>
      </c>
    </row>
    <row r="42" spans="1:6" x14ac:dyDescent="0.25">
      <c r="A42" s="183" t="s">
        <v>341</v>
      </c>
      <c r="B42" s="6"/>
      <c r="C42" s="6"/>
      <c r="D42" s="6"/>
      <c r="E42" s="6"/>
      <c r="F42" s="6"/>
    </row>
    <row r="43" spans="1:6" x14ac:dyDescent="0.25">
      <c r="A43" s="3" t="s">
        <v>342</v>
      </c>
      <c r="B43" s="3" t="s">
        <v>343</v>
      </c>
      <c r="C43" s="3" t="s">
        <v>344</v>
      </c>
      <c r="D43" s="3" t="s">
        <v>345</v>
      </c>
      <c r="E43" s="3" t="s">
        <v>346</v>
      </c>
      <c r="F43" s="3" t="s">
        <v>347</v>
      </c>
    </row>
    <row r="44" spans="1:6" x14ac:dyDescent="0.25">
      <c r="A44" t="s">
        <v>348</v>
      </c>
      <c r="B44">
        <v>10</v>
      </c>
      <c r="C44" s="184">
        <v>0.5</v>
      </c>
      <c r="D44" s="184">
        <f t="shared" ref="D44:D49" si="0">B44*C44</f>
        <v>5</v>
      </c>
      <c r="E44" s="185">
        <f t="shared" ref="E44:E49" si="1">D44/$D$50</f>
        <v>0.0638569604086845</v>
      </c>
      <c r="F44" s="150" t="b">
        <v>1</v>
      </c>
    </row>
    <row r="45" spans="1:6" x14ac:dyDescent="0.25">
      <c r="A45" t="s">
        <v>349</v>
      </c>
      <c r="B45">
        <v>24</v>
      </c>
      <c r="C45" s="184">
        <v>0.25</v>
      </c>
      <c r="D45" s="184">
        <f t="shared" si="0"/>
        <v>6</v>
      </c>
      <c r="E45" s="185">
        <f t="shared" si="1"/>
        <v>0.0766283524904215</v>
      </c>
      <c r="F45" s="150" t="b">
        <v>1</v>
      </c>
    </row>
    <row r="46" spans="1:6" x14ac:dyDescent="0.25">
      <c r="A46" t="s">
        <v>350</v>
      </c>
      <c r="B46">
        <v>5</v>
      </c>
      <c r="C46" s="184">
        <v>3.2</v>
      </c>
      <c r="D46" s="184">
        <f t="shared" si="0"/>
        <v>16</v>
      </c>
      <c r="E46" s="185">
        <f t="shared" si="1"/>
        <v>0.204342273307791</v>
      </c>
      <c r="F46" s="150" t="b">
        <v>0</v>
      </c>
    </row>
    <row r="47" spans="1:6" x14ac:dyDescent="0.25">
      <c r="A47" t="s">
        <v>351</v>
      </c>
      <c r="B47">
        <v>12</v>
      </c>
      <c r="C47" s="184">
        <v>1.75</v>
      </c>
      <c r="D47" s="184">
        <f t="shared" si="0"/>
        <v>21</v>
      </c>
      <c r="E47" s="185">
        <f t="shared" si="1"/>
        <v>0.268199233716475</v>
      </c>
      <c r="F47" s="150" t="b">
        <v>1</v>
      </c>
    </row>
    <row r="48" spans="1:6" x14ac:dyDescent="0.25">
      <c r="A48" t="s">
        <v>352</v>
      </c>
      <c r="B48">
        <v>3</v>
      </c>
      <c r="C48" s="184">
        <v>4.5</v>
      </c>
      <c r="D48" s="184">
        <f t="shared" si="0"/>
        <v>13.5</v>
      </c>
      <c r="E48" s="185">
        <f t="shared" si="1"/>
        <v>0.172413793103448</v>
      </c>
      <c r="F48" s="150" t="b">
        <v>0</v>
      </c>
    </row>
    <row r="49" spans="1:6" x14ac:dyDescent="0.25">
      <c r="A49" t="s">
        <v>353</v>
      </c>
      <c r="B49">
        <v>8</v>
      </c>
      <c r="C49" s="184">
        <v>2.1</v>
      </c>
      <c r="D49" s="184">
        <f t="shared" si="0"/>
        <v>16.8</v>
      </c>
      <c r="E49" s="185">
        <f t="shared" si="1"/>
        <v>0.21455938697318</v>
      </c>
      <c r="F49" s="150" t="b">
        <v>1</v>
      </c>
    </row>
    <row r="50" spans="1:6" x14ac:dyDescent="0.25">
      <c r="A50" s="186" t="s">
        <v>354</v>
      </c>
      <c r="B50" s="186">
        <f>SUM(B44:B49)</f>
        <v>62</v>
      </c>
      <c r="C50" s="186"/>
      <c r="D50" s="187">
        <f>SUM(D44:D49)</f>
        <v>78.3</v>
      </c>
      <c r="E50" s="188">
        <f>SUM(E44:E49)</f>
        <v>1</v>
      </c>
      <c r="F50" s="186"/>
    </row>
    <row r="52" spans="1:3" x14ac:dyDescent="0.25">
      <c r="A52" s="3" t="s">
        <v>355</v>
      </c>
      <c r="B52" s="3" t="s">
        <v>356</v>
      </c>
      <c r="C52" s="3" t="s">
        <v>357</v>
      </c>
    </row>
    <row r="53" spans="1:3" x14ac:dyDescent="0.25">
      <c r="A53" t="s">
        <v>358</v>
      </c>
      <c r="B53" s="153" t="s">
        <v>359</v>
      </c>
      <c r="C53">
        <f>SUM(B44:B49)</f>
        <v>62</v>
      </c>
    </row>
    <row r="54" spans="1:3" x14ac:dyDescent="0.25">
      <c r="A54" t="s">
        <v>360</v>
      </c>
      <c r="B54" s="153" t="s">
        <v>361</v>
      </c>
      <c r="C54" s="155">
        <f>AVERAGE(C44:C49)</f>
        <v>2.05</v>
      </c>
    </row>
    <row r="55" spans="1:3" x14ac:dyDescent="0.25">
      <c r="A55" t="s">
        <v>362</v>
      </c>
      <c r="B55" s="153" t="s">
        <v>363</v>
      </c>
      <c r="C55" t="str">
        <f>IF(D50&gt;50,"Large order","Small order")</f>
        <v>Large order</v>
      </c>
    </row>
    <row r="56" spans="1:3" x14ac:dyDescent="0.25">
      <c r="A56" t="s">
        <v>364</v>
      </c>
      <c r="B56" s="153" t="s">
        <v>365</v>
      </c>
      <c r="C56" s="184">
        <f>VLOOKUP("Cherries",A44:D49,4,FALSE)</f>
        <v>16</v>
      </c>
    </row>
    <row r="57" spans="1:3" x14ac:dyDescent="0.25">
      <c r="A57" t="s">
        <v>366</v>
      </c>
      <c r="B57" s="153" t="s">
        <v>367</v>
      </c>
      <c r="C57" t="str">
        <f>_xlfn.CONCAT(A44," x ",B44)</f>
        <v>Apples x 10</v>
      </c>
    </row>
    <row r="58" spans="1:3" x14ac:dyDescent="0.25">
      <c r="A58" t="s">
        <v>368</v>
      </c>
      <c r="B58" s="153" t="s">
        <v>369</v>
      </c>
      <c r="C58" t="str">
        <f>A45&amp;" @ "&amp;TEXT(C45,"$0.00")</f>
        <v>Bananas @ $0.25</v>
      </c>
    </row>
    <row r="59" spans="1:3" x14ac:dyDescent="0.25">
      <c r="A59" t="s">
        <v>370</v>
      </c>
      <c r="B59" s="153" t="s">
        <v>371</v>
      </c>
      <c r="C59" t="str">
        <f>CONCATENATE("Qty: ",B46)</f>
        <v>Qty: 5</v>
      </c>
    </row>
    <row r="60" spans="1:3" x14ac:dyDescent="0.25">
      <c r="A60" t="s">
        <v>372</v>
      </c>
      <c r="B60" s="153" t="s">
        <v>373</v>
      </c>
      <c r="C60" t="e">
        <f>B44/0</f>
        <v>#DIV/0!</v>
      </c>
    </row>
    <row r="61" spans="1:3" x14ac:dyDescent="0.25">
      <c r="A61" t="s">
        <v>374</v>
      </c>
      <c r="B61" s="153" t="s">
        <v>375</v>
      </c>
      <c r="C61" t="e">
        <f>VLOOKUP("Kiwi",A44:D49,4,FALSE)</f>
        <v>#N/A</v>
      </c>
    </row>
    <row r="62" spans="1:3" x14ac:dyDescent="0.25">
      <c r="A62" t="s">
        <v>376</v>
      </c>
      <c r="B62" s="153" t="s">
        <v>377</v>
      </c>
      <c r="C62" t="b">
        <f>B44&gt;5</f>
        <v>1</v>
      </c>
    </row>
    <row r="63" spans="1:3" x14ac:dyDescent="0.25">
      <c r="A63" t="s">
        <v>378</v>
      </c>
      <c r="B63" s="153" t="s">
        <v>379</v>
      </c>
      <c r="C63" s="168">
        <f>DATE(2024,3,15)+30</f>
        <v>45396</v>
      </c>
    </row>
    <row r="64" spans="1:3" x14ac:dyDescent="0.25">
      <c r="A64" t="s">
        <v>380</v>
      </c>
      <c r="B64" s="153" t="s">
        <v>381</v>
      </c>
      <c r="C64" s="189">
        <f>ROUND(PI(),4)</f>
        <v>3.1416</v>
      </c>
    </row>
    <row r="65" spans="1:4" x14ac:dyDescent="0.25">
      <c r="A65" t="s">
        <v>382</v>
      </c>
      <c r="B65" s="153" t="s">
        <v>383</v>
      </c>
      <c r="C65">
        <f>1+1</f>
      </c>
      <c r="D65" s="148" t="s">
        <v>384</v>
      </c>
    </row>
    <row r="66" spans="1:4" x14ac:dyDescent="0.25">
      <c r="A66" t="s">
        <v>385</v>
      </c>
      <c r="B66" s="148" t="s">
        <v>386</v>
      </c>
      <c r="C66" t="b">
        <v>1</v>
      </c>
      <c r="D66" t="b">
        <v>0</v>
      </c>
    </row>
    <row r="67" spans="1:3" x14ac:dyDescent="0.25">
      <c r="A67" t="s">
        <v>387</v>
      </c>
      <c r="B67" s="148" t="s">
        <v>388</v>
      </c>
      <c r="C67" t="e">
        <v>#N/A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L21"/>
  <sheetViews>
    <sheetView workbookViewId="0">
      <pane ySplit="1" topLeftCell="A2" activePane="bottomLeft" state="frozen"/>
      <selection pane="bottomLeft" activeCell="B2" sqref="B2"/>
    </sheetView>
  </sheetViews>
  <sheetFormatPr defaultRowHeight="15" outlineLevelRow="0" outlineLevelCol="0" x14ac:dyDescent="55" defaultColWidth="12"/>
  <cols>
    <col min="1" max="1" width="14" customWidth="1"/>
    <col min="3" max="3" width="14" customWidth="1"/>
    <col min="12" max="12" width="58" customWidth="1"/>
  </cols>
  <sheetData>
    <row r="1" spans="1:12" x14ac:dyDescent="0.25">
      <c r="A1" s="4" t="s">
        <v>389</v>
      </c>
      <c r="B1" s="4" t="s">
        <v>390</v>
      </c>
      <c r="C1" s="4" t="s">
        <v>391</v>
      </c>
      <c r="D1" s="4" t="s">
        <v>392</v>
      </c>
      <c r="E1" s="4" t="s">
        <v>393</v>
      </c>
      <c r="F1" s="4" t="s">
        <v>394</v>
      </c>
      <c r="G1" s="4" t="s">
        <v>395</v>
      </c>
      <c r="H1" s="4" t="s">
        <v>396</v>
      </c>
      <c r="I1" s="4" t="s">
        <v>397</v>
      </c>
      <c r="J1" s="4" t="s">
        <v>398</v>
      </c>
      <c r="L1" s="23" t="s">
        <v>399</v>
      </c>
    </row>
    <row r="2" spans="1:12" x14ac:dyDescent="0.25">
      <c r="A2" t="s">
        <v>400</v>
      </c>
      <c r="B2" s="150">
        <v>34</v>
      </c>
      <c r="C2" t="s">
        <v>6</v>
      </c>
      <c r="D2" s="156">
        <v>3659</v>
      </c>
      <c r="E2" s="150" t="s">
        <v>401</v>
      </c>
      <c r="F2" s="190">
        <v>15.1</v>
      </c>
      <c r="G2" s="185">
        <v>0.009</v>
      </c>
      <c r="H2" s="160">
        <v>0.5</v>
      </c>
      <c r="I2">
        <v>-5</v>
      </c>
      <c r="J2">
        <v>200</v>
      </c>
      <c r="L2" s="148" t="s">
        <v>402</v>
      </c>
    </row>
    <row r="3" spans="1:12" x14ac:dyDescent="0.25">
      <c r="A3" t="s">
        <v>403</v>
      </c>
      <c r="B3" s="150">
        <v>75</v>
      </c>
      <c r="C3" t="s">
        <v>404</v>
      </c>
      <c r="D3" s="156">
        <v>7739</v>
      </c>
      <c r="E3" s="150" t="s">
        <v>405</v>
      </c>
      <c r="F3" s="190">
        <v>-1.2</v>
      </c>
      <c r="G3" s="185">
        <v>-0.044</v>
      </c>
      <c r="H3" s="160">
        <v>0.14</v>
      </c>
      <c r="I3">
        <v>-70</v>
      </c>
      <c r="J3">
        <v>192</v>
      </c>
      <c r="L3" s="148" t="s">
        <v>406</v>
      </c>
    </row>
    <row r="4" spans="1:12" x14ac:dyDescent="0.25">
      <c r="A4" t="s">
        <v>407</v>
      </c>
      <c r="B4" s="150">
        <v>40</v>
      </c>
      <c r="C4" t="s">
        <v>8</v>
      </c>
      <c r="D4" s="156">
        <v>5459</v>
      </c>
      <c r="E4" s="150" t="s">
        <v>408</v>
      </c>
      <c r="F4" s="190">
        <v>-6.1</v>
      </c>
      <c r="G4" s="185">
        <v>-0.45</v>
      </c>
      <c r="H4" s="160">
        <v>0.96</v>
      </c>
      <c r="I4">
        <v>-67</v>
      </c>
      <c r="J4">
        <v>42</v>
      </c>
      <c r="L4" s="148" t="s">
        <v>409</v>
      </c>
    </row>
    <row r="5" spans="1:12" x14ac:dyDescent="0.25">
      <c r="A5" t="s">
        <v>410</v>
      </c>
      <c r="B5" s="150">
        <v>70</v>
      </c>
      <c r="C5" t="s">
        <v>411</v>
      </c>
      <c r="D5" s="156">
        <v>3287</v>
      </c>
      <c r="E5" s="150" t="s">
        <v>412</v>
      </c>
      <c r="F5" s="190">
        <v>14.5</v>
      </c>
      <c r="G5" s="185">
        <v>-0.414</v>
      </c>
      <c r="H5" s="160">
        <v>0.5</v>
      </c>
      <c r="I5">
        <v>55</v>
      </c>
      <c r="J5">
        <v>130</v>
      </c>
      <c r="L5" s="148" t="s">
        <v>413</v>
      </c>
    </row>
    <row r="6" spans="1:12" x14ac:dyDescent="0.25">
      <c r="A6" t="s">
        <v>414</v>
      </c>
      <c r="B6" s="150">
        <v>56</v>
      </c>
      <c r="C6" t="s">
        <v>415</v>
      </c>
      <c r="D6" s="156">
        <v>9868</v>
      </c>
      <c r="E6" s="150" t="s">
        <v>416</v>
      </c>
      <c r="F6" s="190">
        <v>16.9</v>
      </c>
      <c r="G6" s="185">
        <v>-0.483</v>
      </c>
      <c r="H6" s="160">
        <v>0.8</v>
      </c>
      <c r="I6">
        <v>81</v>
      </c>
      <c r="J6">
        <v>3</v>
      </c>
      <c r="L6" s="148" t="s">
        <v>417</v>
      </c>
    </row>
    <row r="7" spans="1:12" x14ac:dyDescent="0.25">
      <c r="A7" t="s">
        <v>418</v>
      </c>
      <c r="B7" s="150">
        <v>60</v>
      </c>
      <c r="C7" t="s">
        <v>419</v>
      </c>
      <c r="D7" s="156">
        <v>5372</v>
      </c>
      <c r="E7" s="150" t="s">
        <v>420</v>
      </c>
      <c r="F7" s="190">
        <v>34.1</v>
      </c>
      <c r="G7" s="185">
        <v>-0.289</v>
      </c>
      <c r="H7" s="160">
        <v>0.05</v>
      </c>
      <c r="I7">
        <v>-34</v>
      </c>
      <c r="J7">
        <v>192</v>
      </c>
      <c r="L7" s="148" t="s">
        <v>421</v>
      </c>
    </row>
    <row r="8" spans="1:12" x14ac:dyDescent="0.25">
      <c r="A8" t="s">
        <v>422</v>
      </c>
      <c r="B8" s="150">
        <v>57</v>
      </c>
      <c r="C8" t="s">
        <v>217</v>
      </c>
      <c r="D8" s="156">
        <v>2773</v>
      </c>
      <c r="E8" s="150" t="s">
        <v>401</v>
      </c>
      <c r="F8" s="190">
        <v>-3.4</v>
      </c>
      <c r="G8" s="185">
        <v>0.202</v>
      </c>
      <c r="H8" s="160">
        <v>0.77</v>
      </c>
      <c r="I8">
        <v>-40</v>
      </c>
      <c r="J8">
        <v>35</v>
      </c>
      <c r="L8" s="148" t="s">
        <v>423</v>
      </c>
    </row>
    <row r="9" spans="1:12" x14ac:dyDescent="0.25">
      <c r="A9" t="s">
        <v>424</v>
      </c>
      <c r="B9" s="150">
        <v>81</v>
      </c>
      <c r="C9" t="s">
        <v>425</v>
      </c>
      <c r="D9" s="156">
        <v>6262</v>
      </c>
      <c r="E9" s="150" t="s">
        <v>426</v>
      </c>
      <c r="F9" s="190">
        <v>16.8</v>
      </c>
      <c r="G9" s="185">
        <v>-0.449</v>
      </c>
      <c r="H9" s="160">
        <v>0.49</v>
      </c>
      <c r="I9">
        <v>-21</v>
      </c>
      <c r="J9">
        <v>162</v>
      </c>
      <c r="L9" s="148" t="s">
        <v>427</v>
      </c>
    </row>
    <row r="10" spans="1:12" x14ac:dyDescent="0.25">
      <c r="A10" t="s">
        <v>428</v>
      </c>
      <c r="B10" s="150">
        <v>72</v>
      </c>
      <c r="C10" t="s">
        <v>429</v>
      </c>
      <c r="D10" s="156">
        <v>907</v>
      </c>
      <c r="E10" s="150" t="s">
        <v>408</v>
      </c>
      <c r="F10" s="190">
        <v>19.3</v>
      </c>
      <c r="G10" s="185">
        <v>-0.424</v>
      </c>
      <c r="H10" s="160">
        <v>0.32</v>
      </c>
      <c r="I10">
        <v>-90</v>
      </c>
      <c r="J10">
        <v>5</v>
      </c>
      <c r="L10" s="148" t="s">
        <v>430</v>
      </c>
    </row>
    <row r="11" spans="1:12" x14ac:dyDescent="0.25">
      <c r="A11" t="s">
        <v>431</v>
      </c>
      <c r="B11" s="150">
        <v>95</v>
      </c>
      <c r="C11" t="s">
        <v>432</v>
      </c>
      <c r="D11" s="156">
        <v>1404</v>
      </c>
      <c r="E11" s="150" t="s">
        <v>433</v>
      </c>
      <c r="F11" s="190">
        <v>12</v>
      </c>
      <c r="G11" s="185">
        <v>0.003</v>
      </c>
      <c r="H11" s="160">
        <v>0.8</v>
      </c>
      <c r="I11">
        <v>17</v>
      </c>
      <c r="J11">
        <v>33</v>
      </c>
      <c r="L11" s="148" t="s">
        <v>434</v>
      </c>
    </row>
    <row r="12" spans="1:12" x14ac:dyDescent="0.25">
      <c r="A12" t="s">
        <v>435</v>
      </c>
      <c r="B12" s="150">
        <v>53</v>
      </c>
      <c r="C12" t="s">
        <v>6</v>
      </c>
      <c r="D12" s="156">
        <v>3805</v>
      </c>
      <c r="E12" s="150" t="s">
        <v>401</v>
      </c>
      <c r="F12" s="190">
        <v>7</v>
      </c>
      <c r="G12" s="185">
        <v>-0.396</v>
      </c>
      <c r="H12" s="160">
        <v>0.33</v>
      </c>
      <c r="I12">
        <v>84</v>
      </c>
      <c r="J12">
        <v>87</v>
      </c>
      <c r="L12" s="148" t="s">
        <v>436</v>
      </c>
    </row>
    <row r="13" spans="1:10" x14ac:dyDescent="0.25">
      <c r="A13" t="s">
        <v>437</v>
      </c>
      <c r="B13" s="150">
        <v>100</v>
      </c>
      <c r="C13" t="s">
        <v>404</v>
      </c>
      <c r="D13" s="156">
        <v>5462</v>
      </c>
      <c r="E13" s="150" t="s">
        <v>412</v>
      </c>
      <c r="F13" s="190">
        <v>-4</v>
      </c>
      <c r="G13" s="185">
        <v>0.406</v>
      </c>
      <c r="H13" s="160">
        <v>0.24</v>
      </c>
      <c r="I13">
        <v>68</v>
      </c>
      <c r="J13">
        <v>142</v>
      </c>
    </row>
    <row r="14" spans="1:10" x14ac:dyDescent="0.25">
      <c r="A14" t="s">
        <v>438</v>
      </c>
      <c r="B14" s="150">
        <v>17</v>
      </c>
      <c r="C14" t="s">
        <v>8</v>
      </c>
      <c r="D14" s="156">
        <v>6896</v>
      </c>
      <c r="E14" s="150" t="s">
        <v>439</v>
      </c>
      <c r="F14" s="190">
        <v>32.2</v>
      </c>
      <c r="G14" s="185">
        <v>-0.17</v>
      </c>
      <c r="H14" s="160">
        <v>0.42</v>
      </c>
      <c r="I14">
        <v>61</v>
      </c>
      <c r="J14">
        <v>25</v>
      </c>
    </row>
    <row r="15" spans="1:10" x14ac:dyDescent="0.25">
      <c r="A15" t="s">
        <v>440</v>
      </c>
      <c r="B15" s="150">
        <v>94</v>
      </c>
      <c r="C15" t="s">
        <v>411</v>
      </c>
      <c r="D15" s="156">
        <v>9518</v>
      </c>
      <c r="E15" s="150" t="s">
        <v>412</v>
      </c>
      <c r="F15" s="190">
        <v>33.5</v>
      </c>
      <c r="G15" s="185">
        <v>-0.087</v>
      </c>
      <c r="H15" s="160">
        <v>0.57</v>
      </c>
      <c r="I15">
        <v>81</v>
      </c>
      <c r="J15">
        <v>172</v>
      </c>
    </row>
    <row r="16" spans="1:10" x14ac:dyDescent="0.25">
      <c r="A16" t="s">
        <v>441</v>
      </c>
      <c r="B16" s="150">
        <v>35</v>
      </c>
      <c r="C16" t="s">
        <v>415</v>
      </c>
      <c r="D16" s="156">
        <v>3063</v>
      </c>
      <c r="E16" s="150" t="s">
        <v>408</v>
      </c>
      <c r="F16" s="190">
        <v>5.3</v>
      </c>
      <c r="G16" s="185">
        <v>0.021</v>
      </c>
      <c r="H16" s="160">
        <v>0.06</v>
      </c>
      <c r="I16">
        <v>-99</v>
      </c>
      <c r="J16">
        <v>141</v>
      </c>
    </row>
    <row r="17" spans="1:10" x14ac:dyDescent="0.25">
      <c r="A17" t="s">
        <v>442</v>
      </c>
      <c r="B17" s="150">
        <v>67</v>
      </c>
      <c r="C17" t="s">
        <v>419</v>
      </c>
      <c r="D17" s="156">
        <v>154</v>
      </c>
      <c r="E17" s="150" t="s">
        <v>412</v>
      </c>
      <c r="F17" s="190">
        <v>35.6</v>
      </c>
      <c r="G17" s="185">
        <v>0.088</v>
      </c>
      <c r="H17" s="160">
        <v>0.13</v>
      </c>
      <c r="I17">
        <v>85</v>
      </c>
      <c r="J17">
        <v>43</v>
      </c>
    </row>
    <row r="18" spans="1:10" x14ac:dyDescent="0.25">
      <c r="A18" t="s">
        <v>443</v>
      </c>
      <c r="B18" s="150">
        <v>47</v>
      </c>
      <c r="C18" t="s">
        <v>217</v>
      </c>
      <c r="D18" s="156">
        <v>7382</v>
      </c>
      <c r="E18" s="150" t="s">
        <v>401</v>
      </c>
      <c r="F18" s="190">
        <v>13.9</v>
      </c>
      <c r="G18" s="185">
        <v>-0.037</v>
      </c>
      <c r="H18" s="160">
        <v>0.68</v>
      </c>
      <c r="I18">
        <v>-54</v>
      </c>
      <c r="J18">
        <v>137</v>
      </c>
    </row>
    <row r="19" spans="1:10" x14ac:dyDescent="0.25">
      <c r="A19" t="s">
        <v>444</v>
      </c>
      <c r="B19" s="150">
        <v>18</v>
      </c>
      <c r="C19" t="s">
        <v>425</v>
      </c>
      <c r="D19" s="156">
        <v>6572</v>
      </c>
      <c r="E19" s="150" t="s">
        <v>445</v>
      </c>
      <c r="F19" s="190">
        <v>10.7</v>
      </c>
      <c r="G19" s="185">
        <v>-0.022</v>
      </c>
      <c r="H19" s="160">
        <v>0.03</v>
      </c>
      <c r="I19">
        <v>-38</v>
      </c>
      <c r="J19">
        <v>177</v>
      </c>
    </row>
    <row r="20" spans="1:10" x14ac:dyDescent="0.25">
      <c r="A20" t="s">
        <v>446</v>
      </c>
      <c r="B20" s="150">
        <v>19</v>
      </c>
      <c r="C20" t="s">
        <v>429</v>
      </c>
      <c r="D20" s="156">
        <v>5895</v>
      </c>
      <c r="E20" s="150" t="s">
        <v>416</v>
      </c>
      <c r="F20" s="190">
        <v>24.1</v>
      </c>
      <c r="G20" s="185">
        <v>-0.18</v>
      </c>
      <c r="H20" s="160">
        <v>0.16</v>
      </c>
      <c r="I20">
        <v>-70</v>
      </c>
      <c r="J20">
        <v>94</v>
      </c>
    </row>
    <row r="21" spans="1:10" x14ac:dyDescent="0.25">
      <c r="A21" t="s">
        <v>447</v>
      </c>
      <c r="B21" s="150">
        <v>3</v>
      </c>
      <c r="C21" t="s">
        <v>432</v>
      </c>
      <c r="D21" s="156">
        <v>6622</v>
      </c>
      <c r="E21" s="150" t="s">
        <v>401</v>
      </c>
      <c r="F21" s="190">
        <v>12.5</v>
      </c>
      <c r="G21" s="185">
        <v>0.363</v>
      </c>
      <c r="H21" s="160">
        <v>0.19</v>
      </c>
      <c r="I21">
        <v>-53</v>
      </c>
      <c r="J21">
        <v>120</v>
      </c>
    </row>
  </sheetData>
  <autoFilter ref="A1:J21"/>
  <conditionalFormatting sqref="A2:A21">
    <cfRule type="expression" dxfId="0" priority="1">
      <formula>$B2&gt;90</formula>
    </cfRule>
  </conditionalFormatting>
  <conditionalFormatting sqref="B2:B21">
    <cfRule type="cellIs" dxfId="1" priority="2" operator="greaterThan">
      <formula>75</formula>
    </cfRule>
    <cfRule type="cellIs" dxfId="2" priority="3" operator="between">
      <formula>40</formula>
      <formula>60</formula>
    </cfRule>
  </conditionalFormatting>
  <conditionalFormatting sqref="C2:C21">
    <cfRule type="containsText" dxfId="3" priority="4">
      <formula>NOT(ISERROR(SEARCH("apple",C2)))</formula>
    </cfRule>
  </conditionalFormatting>
  <conditionalFormatting sqref="D2:D21">
    <cfRule type="top10" dxfId="4" priority="5" rank="3"/>
    <cfRule type="top10" dxfId="5" priority="6" bottom="1" rank="3"/>
  </conditionalFormatting>
  <conditionalFormatting sqref="E2:E21">
    <cfRule type="duplicateValues" dxfId="6" priority="7"/>
  </conditionalFormatting>
  <conditionalFormatting sqref="F2:F21">
    <cfRule type="colorScale" priority="8">
      <colorScale>
        <cfvo type="min"/>
        <cfvo type="max"/>
        <color rgb="FFFFFFFF"/>
        <color rgb="FF63BE7B"/>
      </colorScale>
    </cfRule>
  </conditionalFormatting>
  <conditionalFormatting sqref="G2:G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1">
    <cfRule type="dataBar" priority="10">
      <dataBar>
        <cfvo type="min"/>
        <cfvo type="max"/>
        <color rgb="FF638EC6"/>
      </dataBar>
    </cfRule>
  </conditionalFormatting>
  <conditionalFormatting sqref="I2:I21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J2:J21">
    <cfRule type="aboveAverage" dxfId="7" priority="12"/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</sheetPr>
  <dimension ref="A1:A9"/>
  <sheetFormatPr defaultRowHeight="15" outlineLevelRow="0" outlineLevelCol="0" x14ac:dyDescent="55"/>
  <cols>
    <col min="1" max="1" width="44" customWidth="1"/>
  </cols>
  <sheetData>
    <row r="1" spans="1:1" x14ac:dyDescent="0.25">
      <c r="A1" s="23" t="s">
        <v>448</v>
      </c>
    </row>
    <row r="2" spans="1:1" x14ac:dyDescent="0.25">
      <c r="A2" t="s">
        <v>449</v>
      </c>
    </row>
    <row r="3" spans="1:1" x14ac:dyDescent="0.25">
      <c r="A3" t="s">
        <v>218</v>
      </c>
    </row>
    <row r="4" spans="1:1" x14ac:dyDescent="0.25">
      <c r="A4" t="s">
        <v>217</v>
      </c>
    </row>
    <row r="5" spans="1:1" x14ac:dyDescent="0.25">
      <c r="A5" t="s">
        <v>46</v>
      </c>
    </row>
    <row r="6" spans="1:1" x14ac:dyDescent="0.25">
      <c r="A6" t="s">
        <v>450</v>
      </c>
    </row>
    <row r="7" spans="1:1" x14ac:dyDescent="0.25">
      <c r="A7" t="s">
        <v>429</v>
      </c>
    </row>
    <row r="9" spans="1:1" x14ac:dyDescent="0.25">
      <c r="A9" s="148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B1:E14"/>
  <sheetViews>
    <sheetView workbookViewId="0" showGridLines="0" zoomScale="125" zoomScaleNormal="125"/>
  </sheetViews>
  <sheetFormatPr defaultRowHeight="15" outlineLevelRow="0" outlineLevelCol="0" x14ac:dyDescent="55"/>
  <cols>
    <col min="1" max="1" width="4" customWidth="1"/>
  </cols>
  <sheetData>
    <row r="1" spans="2:2" x14ac:dyDescent="0.25">
      <c r="B1" s="191" t="s">
        <v>452</v>
      </c>
    </row>
    <row r="2" spans="2:5" x14ac:dyDescent="0.25">
      <c r="B2" s="148" t="s">
        <v>453</v>
      </c>
      <c r="E2" s="148" t="s">
        <v>454</v>
      </c>
    </row>
    <row r="14" spans="2:2" x14ac:dyDescent="0.25">
      <c r="B14" s="148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5"/>
  </sheetPr>
  <dimension ref="A1:C6"/>
  <sheetViews>
    <sheetView workbookViewId="0" rightToLeft="1"/>
  </sheetViews>
  <sheetFormatPr defaultRowHeight="15" outlineLevelRow="0" outlineLevelCol="0" x14ac:dyDescent="55"/>
  <cols>
    <col min="1" max="2" width="26" customWidth="1"/>
    <col min="3" max="3" width="16" customWidth="1"/>
  </cols>
  <sheetData>
    <row r="1" spans="1:3" x14ac:dyDescent="0.25">
      <c r="A1" s="3" t="s">
        <v>456</v>
      </c>
      <c r="B1" s="3" t="s">
        <v>457</v>
      </c>
      <c r="C1" s="3" t="s">
        <v>458</v>
      </c>
    </row>
    <row r="2" spans="1:3" x14ac:dyDescent="0.25">
      <c r="A2" t="s">
        <v>459</v>
      </c>
      <c r="B2" t="s">
        <v>460</v>
      </c>
      <c r="C2" s="157">
        <v>1234.5</v>
      </c>
    </row>
    <row r="3" spans="1:3" x14ac:dyDescent="0.25">
      <c r="A3" t="s">
        <v>461</v>
      </c>
      <c r="B3" t="s">
        <v>462</v>
      </c>
      <c r="C3" s="157">
        <v>-42</v>
      </c>
    </row>
    <row r="4" spans="1:3" x14ac:dyDescent="0.25">
      <c r="A4" t="s">
        <v>463</v>
      </c>
      <c r="B4" t="s">
        <v>464</v>
      </c>
      <c r="C4" s="157">
        <v>0.5</v>
      </c>
    </row>
    <row r="6" spans="1:1" x14ac:dyDescent="0.25">
      <c r="A6" s="148" t="s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70" customWidth="1"/>
  </cols>
  <sheetData>
    <row r="1" spans="1:1" x14ac:dyDescent="0.25">
      <c r="A1" s="148" t="s">
        <v>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Formatting</vt:lpstr>
      <vt:lpstr>Numbers</vt:lpstr>
      <vt:lpstr>CondFormat</vt:lpstr>
      <vt:lpstr>Hidden</vt:lpstr>
      <vt:lpstr>Images</vt:lpstr>
      <vt:lpstr>RTL</vt:lpstr>
      <vt:lpstr>VeryHidden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FileStudio sample generator</dc:creator>
  <dc:title>FileStudio styled showcase</dc:title>
  <dc:subject>Formatting, number formats, formulas, conditional formats, images</dc:subject>
  <dc:description/>
  <cp:keywords>file-viewer sample exceljs</cp:keywords>
  <cp:category/>
  <cp:lastModifiedBy>FileStudio sample generator</cp:lastModifiedBy>
  <dcterms:created xsi:type="dcterms:W3CDTF">2024-01-15T09:30:00Z</dcterms:created>
  <dcterms:modified xsi:type="dcterms:W3CDTF">2024-01-15T09:30:00Z</dcterms:modified>
</cp:coreProperties>
</file>